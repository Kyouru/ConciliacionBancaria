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Conciliacion\"/>
    </mc:Choice>
  </mc:AlternateContent>
  <xr:revisionPtr revIDLastSave="0" documentId="13_ncr:1_{57B55702-DBD5-47E2-87DE-7B6CA0E570D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CALCULADORA" sheetId="10" r:id="rId2"/>
    <sheet name="Pendientes" sheetId="15" r:id="rId3"/>
    <sheet name="SaldoBanco" sheetId="5" r:id="rId4"/>
    <sheet name="Busqueda Suma" sheetId="12" r:id="rId5"/>
    <sheet name="SALDO_INICIAL" sheetId="11" state="hidden" r:id="rId6"/>
    <sheet name="Comparar Lista" sheetId="13" r:id="rId7"/>
    <sheet name="TEMP" sheetId="14" state="hidden" r:id="rId8"/>
    <sheet name="L" sheetId="3" r:id="rId9"/>
    <sheet name="HOJA_TEMP_PENDIENTE" sheetId="9" state="hidden" r:id="rId10"/>
    <sheet name="TEMP_CUENTA" sheetId="4" state="hidden" r:id="rId11"/>
  </sheets>
  <functionGroups builtInGroupCount="19"/>
  <externalReferences>
    <externalReference r:id="rId12"/>
  </externalReferences>
  <definedNames>
    <definedName name="ALTERNATIVA">'Busqueda Suma'!$E$6</definedName>
    <definedName name="_xlnm.Print_Area" localSheetId="2">Pendientes!$A:$I</definedName>
    <definedName name="BANCO">Main!$C$2</definedName>
    <definedName name="CALCULADO_DIFERENCIA">Main!$L$10</definedName>
    <definedName name="CHECK_NUMERICO">#REF!</definedName>
    <definedName name="CUENTA">Main!$C$3</definedName>
    <definedName name="dataSet">Main!$B$14:$H$14</definedName>
    <definedName name="DATASET_TEMP_CUENTA">L!$B$8</definedName>
    <definedName name="DATASET_TEMP_PENDIENTE">L!$B$11</definedName>
    <definedName name="dataSetCuenta">TEMP_CUENTA!$A$2:$E$2</definedName>
    <definedName name="dataSetMovimientos">Main!$J$14:$P$14</definedName>
    <definedName name="dataSetPendiente">HOJA_TEMP_PENDIENTE!$A$2:$K$2</definedName>
    <definedName name="dataSetPendientes">Pendientes!$A$4:$I$4</definedName>
    <definedName name="dataSetSaldoBanco">SaldoBanco!$B$7:$D$7</definedName>
    <definedName name="dataSetSaldoDiario">#REF!</definedName>
    <definedName name="dataSetTemp">TEMP!$A$2:$G$2</definedName>
    <definedName name="DB_PATH">L!$B$1</definedName>
    <definedName name="DIA">Main!$F$7</definedName>
    <definedName name="DIRECTORIO">L!$B$4</definedName>
    <definedName name="FECHA_DIARIO">#REF!</definedName>
    <definedName name="FECHA_FIN">#REF!</definedName>
    <definedName name="FECHA_SALDO_BANCO">Main!$D$7</definedName>
    <definedName name="FECHA_SALDO_SISTEMA">Main!$D$6</definedName>
    <definedName name="FECHA1">Main!$A$3</definedName>
    <definedName name="FECHA2">Main!$A$4</definedName>
    <definedName name="HOJA_TEMP_PENDIENTE">L!$B$10</definedName>
    <definedName name="ID_CUENTA">Main!$A$1</definedName>
    <definedName name="ID_CUENTA_DIARIA">#REF!</definedName>
    <definedName name="ID_PENDIENTE">#REF!</definedName>
    <definedName name="LISTA_A">'Comparar Lista'!$B$4</definedName>
    <definedName name="LISTA_A2">'Comparar Lista'!$G$4</definedName>
    <definedName name="LISTA_B">'Comparar Lista'!$D$4</definedName>
    <definedName name="LISTA_B2">'Comparar Lista'!$I$4</definedName>
    <definedName name="LOG_PATH">L!$B$2</definedName>
    <definedName name="MONEDA">Main!$C$4</definedName>
    <definedName name="NO_NUMERICO">#REF!</definedName>
    <definedName name="OBJETIVO">'Busqueda Suma'!$B$6</definedName>
    <definedName name="PENDIENTES_FECHA">Pendientes!$H$1</definedName>
    <definedName name="POSIBILIDADES">'Busqueda Suma'!$G$6</definedName>
    <definedName name="SALDO_BANCO">Main!$C$7</definedName>
    <definedName name="SALDO_BANCO_ANTERIOR">Main!$L$8</definedName>
    <definedName name="SALDO_CALCULADO">Main!$L$9</definedName>
    <definedName name="SALDO_SISTEMA">Main!$C$6</definedName>
    <definedName name="TEMP_CUENTA">L!$B$7</definedName>
    <definedName name="TEMP_PATH">L!$B$3</definedName>
    <definedName name="Tipo_de_Cambio">[1]G_Consolidado!$F$2</definedName>
    <definedName name="VALORES">'Busqueda Suma'!$D$6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L9" i="1" l="1"/>
  <c r="L10" i="1" s="1"/>
  <c r="C3" i="15" l="1"/>
  <c r="L4" i="1" l="1"/>
  <c r="L3" i="1"/>
  <c r="L2" i="1"/>
  <c r="D13" i="10" l="1"/>
  <c r="D12" i="10"/>
  <c r="B5" i="10"/>
  <c r="D4" i="10" s="1"/>
  <c r="C3" i="10"/>
  <c r="C4" i="5" l="1"/>
  <c r="C3" i="5"/>
  <c r="C2" i="5"/>
  <c r="C9" i="1" l="1"/>
  <c r="C11" i="1" l="1"/>
</calcChain>
</file>

<file path=xl/sharedStrings.xml><?xml version="1.0" encoding="utf-8"?>
<sst xmlns="http://schemas.openxmlformats.org/spreadsheetml/2006/main" count="2298" uniqueCount="374">
  <si>
    <t>Banco:</t>
  </si>
  <si>
    <t>Aelucoop</t>
  </si>
  <si>
    <t>Cuenta:</t>
  </si>
  <si>
    <t>Moneda:</t>
  </si>
  <si>
    <t>Saldo Banco:</t>
  </si>
  <si>
    <t>Saldo Sistema:</t>
  </si>
  <si>
    <t>DB_PATH</t>
  </si>
  <si>
    <t>LOG_PATH</t>
  </si>
  <si>
    <t>\\pacifico-4\E\digitalizacion\CUSTODIA\Conciliacion\log.txt</t>
  </si>
  <si>
    <t>TEMP_PATH</t>
  </si>
  <si>
    <t>C:\Cargas\</t>
  </si>
  <si>
    <t>DIRECTORIO_CARGA</t>
  </si>
  <si>
    <t>ID_CUENTA</t>
  </si>
  <si>
    <t>NOMBRE_BANCO</t>
  </si>
  <si>
    <t>NOMBRE_CUENTA_BANCO</t>
  </si>
  <si>
    <t>NOMBRE_MONEDA</t>
  </si>
  <si>
    <t>Banco Continental</t>
  </si>
  <si>
    <t>Banco de Credito del Peru</t>
  </si>
  <si>
    <t>193-0054433-0-27</t>
  </si>
  <si>
    <t>193-03308674-0-93</t>
  </si>
  <si>
    <t>193-1312975-0-72</t>
  </si>
  <si>
    <t>1061862-001</t>
  </si>
  <si>
    <t>Banco Interamericano de Finanzas</t>
  </si>
  <si>
    <t>100-0005126</t>
  </si>
  <si>
    <t>100-0006228</t>
  </si>
  <si>
    <t>Banco Internacional del Peru - INTERBANK</t>
  </si>
  <si>
    <t>041-3000106330</t>
  </si>
  <si>
    <t>Banco Pichincha</t>
  </si>
  <si>
    <t>296-811343</t>
  </si>
  <si>
    <t>Scotiabank</t>
  </si>
  <si>
    <t>000-8398950</t>
  </si>
  <si>
    <t>191-2616734-0-55</t>
  </si>
  <si>
    <t>TEMP_CUENTA</t>
  </si>
  <si>
    <t>dataSetCuenta</t>
  </si>
  <si>
    <t>DATASET_TEMP_CUENTA</t>
  </si>
  <si>
    <t>Importe</t>
  </si>
  <si>
    <t>Tipo</t>
  </si>
  <si>
    <t>Detalle</t>
  </si>
  <si>
    <t>Adicional</t>
  </si>
  <si>
    <t>Fecha Inicio</t>
  </si>
  <si>
    <t>ID_PENDIENTE</t>
  </si>
  <si>
    <r>
      <rPr>
        <b/>
        <sz val="12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inalizar / </t>
    </r>
    <r>
      <rPr>
        <b/>
        <sz val="12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nular</t>
    </r>
  </si>
  <si>
    <t>Pendientes:</t>
  </si>
  <si>
    <t>Diferencia Saldo:</t>
  </si>
  <si>
    <t>193-0756477-1-90</t>
  </si>
  <si>
    <t>193-1342935-1-08</t>
  </si>
  <si>
    <t>194-09096274-1-54</t>
  </si>
  <si>
    <t>1061862-002</t>
  </si>
  <si>
    <t>100-0005134</t>
  </si>
  <si>
    <t>100-0006236</t>
  </si>
  <si>
    <t>041-3000106347</t>
  </si>
  <si>
    <t>296811297</t>
  </si>
  <si>
    <t>01-001-106-8595-22</t>
  </si>
  <si>
    <t>01-044-460-0006-21</t>
  </si>
  <si>
    <t>000-4978584</t>
  </si>
  <si>
    <t>191-2617465-1-49</t>
  </si>
  <si>
    <t>Fecha</t>
  </si>
  <si>
    <t>Saldo Banco</t>
  </si>
  <si>
    <t>Saldo Sistema</t>
  </si>
  <si>
    <t>FECHA_FIN</t>
  </si>
  <si>
    <t>Banco Santander</t>
  </si>
  <si>
    <t>2604-1</t>
  </si>
  <si>
    <t>2604-0</t>
  </si>
  <si>
    <t>0661-65-0100035647</t>
  </si>
  <si>
    <t>0661-63-0200043647</t>
  </si>
  <si>
    <t>142-72-0100037087</t>
  </si>
  <si>
    <t>142-75-0200064790</t>
  </si>
  <si>
    <t>Banco GNB</t>
  </si>
  <si>
    <t>296-811270</t>
  </si>
  <si>
    <t>296811350</t>
  </si>
  <si>
    <t>8092885</t>
  </si>
  <si>
    <t>8092893</t>
  </si>
  <si>
    <t>001-106-8594-21</t>
  </si>
  <si>
    <t>044-460-0009-24</t>
  </si>
  <si>
    <t>HOJA_TEMP_PENDIENTE</t>
  </si>
  <si>
    <t>DATASET_TEMP_PENDIENTE</t>
  </si>
  <si>
    <t>dataSetPendiente</t>
  </si>
  <si>
    <t>NUMERO_CUENTA_SISGO</t>
  </si>
  <si>
    <t>FECHA_INICIO</t>
  </si>
  <si>
    <t>IMPORTE</t>
  </si>
  <si>
    <t>TIPO</t>
  </si>
  <si>
    <t>DETALLE</t>
  </si>
  <si>
    <t>ADICIONAL</t>
  </si>
  <si>
    <t>ANULADO</t>
  </si>
  <si>
    <t>saldo bancos</t>
  </si>
  <si>
    <t>diferencia</t>
  </si>
  <si>
    <t>saldo print</t>
  </si>
  <si>
    <t>comision ibk</t>
  </si>
  <si>
    <t>monto ibk</t>
  </si>
  <si>
    <t>SOLES</t>
  </si>
  <si>
    <t>DOLARES</t>
  </si>
  <si>
    <t>ID_MOVIMIENTO</t>
  </si>
  <si>
    <t>MONTO</t>
  </si>
  <si>
    <t>GLOSA</t>
  </si>
  <si>
    <t>NUMERO_OPERACION</t>
  </si>
  <si>
    <t>FECHA_MOVIMIENTO</t>
  </si>
  <si>
    <t>HORA_MOVIMIENTO</t>
  </si>
  <si>
    <t>TIPO_MOVIMIENTO</t>
  </si>
  <si>
    <t>SALDO_AL_2020-01-08</t>
  </si>
  <si>
    <t>Saldo Calculado:</t>
  </si>
  <si>
    <t>Saldo Inicio 2020</t>
  </si>
  <si>
    <t>Objetivo</t>
  </si>
  <si>
    <t>Posibles Valores</t>
  </si>
  <si>
    <t>Alternativa</t>
  </si>
  <si>
    <t>Alternativas</t>
  </si>
  <si>
    <t>Comparativo</t>
  </si>
  <si>
    <t>Lista A</t>
  </si>
  <si>
    <t>Lista B</t>
  </si>
  <si>
    <t>ID_CARGA_XLSX</t>
  </si>
  <si>
    <t>CUENTA</t>
  </si>
  <si>
    <t>#</t>
  </si>
  <si>
    <t>FECHA</t>
  </si>
  <si>
    <t>HORA</t>
  </si>
  <si>
    <t>FECHA_GEN</t>
  </si>
  <si>
    <t>USUARIO</t>
  </si>
  <si>
    <t>Gustavo Alonso Mayeshiro Higa</t>
  </si>
  <si>
    <t>PICHI 350</t>
  </si>
  <si>
    <t>02</t>
  </si>
  <si>
    <t>01</t>
  </si>
  <si>
    <t>PICHI 343</t>
  </si>
  <si>
    <t>pendiente diferencia</t>
  </si>
  <si>
    <t>Banco</t>
  </si>
  <si>
    <t>MD</t>
  </si>
  <si>
    <t>S</t>
  </si>
  <si>
    <t>D</t>
  </si>
  <si>
    <t>retiro libro</t>
  </si>
  <si>
    <t>FECHA INICIO</t>
  </si>
  <si>
    <t>IBK 6330</t>
  </si>
  <si>
    <t>07</t>
  </si>
  <si>
    <t>02/03/2020</t>
  </si>
  <si>
    <t>15:39:04</t>
  </si>
  <si>
    <t>Guisell Aspillaga</t>
  </si>
  <si>
    <t>BCP 72</t>
  </si>
  <si>
    <t>15:31:01</t>
  </si>
  <si>
    <t>BIF 6228</t>
  </si>
  <si>
    <t>03</t>
  </si>
  <si>
    <t>15:28:06</t>
  </si>
  <si>
    <t>BCP 08</t>
  </si>
  <si>
    <t>05</t>
  </si>
  <si>
    <t>15:19:06</t>
  </si>
  <si>
    <t>06</t>
  </si>
  <si>
    <t>15:19:01</t>
  </si>
  <si>
    <t>SC 09</t>
  </si>
  <si>
    <t>14:29:24</t>
  </si>
  <si>
    <t>04</t>
  </si>
  <si>
    <t>14:26:43</t>
  </si>
  <si>
    <t>David Kenji Jhoncon Yague</t>
  </si>
  <si>
    <t>SC 06</t>
  </si>
  <si>
    <t>14:25:13</t>
  </si>
  <si>
    <t>BBVA 43647</t>
  </si>
  <si>
    <t>11</t>
  </si>
  <si>
    <t>13:48:56</t>
  </si>
  <si>
    <t>10</t>
  </si>
  <si>
    <t>13:48:53</t>
  </si>
  <si>
    <t>12</t>
  </si>
  <si>
    <t>13:48:48</t>
  </si>
  <si>
    <t>13:31:59</t>
  </si>
  <si>
    <t>13:30:58</t>
  </si>
  <si>
    <t>13:12:55</t>
  </si>
  <si>
    <t>BIF 5134</t>
  </si>
  <si>
    <t>13:12:34</t>
  </si>
  <si>
    <t>09</t>
  </si>
  <si>
    <t>12:49:45</t>
  </si>
  <si>
    <t>12:48:14</t>
  </si>
  <si>
    <t>12:39:28</t>
  </si>
  <si>
    <t>12:39:02</t>
  </si>
  <si>
    <t>IBK 6347</t>
  </si>
  <si>
    <t>12:17:45</t>
  </si>
  <si>
    <t>12:16:52</t>
  </si>
  <si>
    <t>12:02:30</t>
  </si>
  <si>
    <t>12:00:37</t>
  </si>
  <si>
    <t>11:37:18</t>
  </si>
  <si>
    <t>Milenka Akemi Murata Separovich</t>
  </si>
  <si>
    <t>BBVA 64790</t>
  </si>
  <si>
    <t>11:30:39</t>
  </si>
  <si>
    <t>08</t>
  </si>
  <si>
    <t>11:24:07</t>
  </si>
  <si>
    <t>11:14:32</t>
  </si>
  <si>
    <t>10:56:20</t>
  </si>
  <si>
    <t>10:39:38</t>
  </si>
  <si>
    <t>10:39:28</t>
  </si>
  <si>
    <t>BIF 6236</t>
  </si>
  <si>
    <t>10:29:39</t>
  </si>
  <si>
    <t>09:51:32</t>
  </si>
  <si>
    <t>09:47:25</t>
  </si>
  <si>
    <t>09:41:00</t>
  </si>
  <si>
    <t>09:39:56</t>
  </si>
  <si>
    <t>09:39:44</t>
  </si>
  <si>
    <t>08:06:59</t>
  </si>
  <si>
    <t>08:06:51</t>
  </si>
  <si>
    <t>PICHI 297</t>
  </si>
  <si>
    <t>08:06:44</t>
  </si>
  <si>
    <t>PICHI 270</t>
  </si>
  <si>
    <t>08:06:29</t>
  </si>
  <si>
    <t>AELU DOLARES</t>
  </si>
  <si>
    <t>08:01:41</t>
  </si>
  <si>
    <t>AELU N.SOLES</t>
  </si>
  <si>
    <t>08:01:16</t>
  </si>
  <si>
    <t>08:00:34</t>
  </si>
  <si>
    <t>08:00:31</t>
  </si>
  <si>
    <t>07:57:47</t>
  </si>
  <si>
    <t>07:56:47</t>
  </si>
  <si>
    <t>BIF 5126</t>
  </si>
  <si>
    <t>07:56:09</t>
  </si>
  <si>
    <t>07:55:52</t>
  </si>
  <si>
    <t>07:55:01</t>
  </si>
  <si>
    <t>07:54:16</t>
  </si>
  <si>
    <t>SC 95</t>
  </si>
  <si>
    <t>07:53:04</t>
  </si>
  <si>
    <t>SC 84</t>
  </si>
  <si>
    <t>07:52:23</t>
  </si>
  <si>
    <t>SC 50</t>
  </si>
  <si>
    <t>07:51:45</t>
  </si>
  <si>
    <t>SC 94</t>
  </si>
  <si>
    <t>07:51:08</t>
  </si>
  <si>
    <t>07:49:37</t>
  </si>
  <si>
    <t>07:49:22</t>
  </si>
  <si>
    <t>HIST 54</t>
  </si>
  <si>
    <t>07:48:36</t>
  </si>
  <si>
    <t>HIST 93</t>
  </si>
  <si>
    <t>07:48:30</t>
  </si>
  <si>
    <t>HIST 08</t>
  </si>
  <si>
    <t>07:48:25</t>
  </si>
  <si>
    <t>HIST 49</t>
  </si>
  <si>
    <t>07:48:20</t>
  </si>
  <si>
    <t>HIST 72</t>
  </si>
  <si>
    <t>07:48:15</t>
  </si>
  <si>
    <t>HIST 55</t>
  </si>
  <si>
    <t>07:48:11</t>
  </si>
  <si>
    <t>HIST 90</t>
  </si>
  <si>
    <t>07:48:06</t>
  </si>
  <si>
    <t>HIST 27</t>
  </si>
  <si>
    <t>07:48:02</t>
  </si>
  <si>
    <t>20BCP 72</t>
  </si>
  <si>
    <t>07:47:46</t>
  </si>
  <si>
    <t>20BCP 08</t>
  </si>
  <si>
    <t>07:47:38</t>
  </si>
  <si>
    <t>07:47:25</t>
  </si>
  <si>
    <t>07:47:20</t>
  </si>
  <si>
    <t>07:47:16</t>
  </si>
  <si>
    <t>07:46:45</t>
  </si>
  <si>
    <t>07:46:04</t>
  </si>
  <si>
    <t>07:45:28</t>
  </si>
  <si>
    <t>07:44:18</t>
  </si>
  <si>
    <t>07:44:04</t>
  </si>
  <si>
    <t>07:43:55</t>
  </si>
  <si>
    <t>07:42:22</t>
  </si>
  <si>
    <t>07:42:13</t>
  </si>
  <si>
    <t>07:41:53</t>
  </si>
  <si>
    <t>07:41:42</t>
  </si>
  <si>
    <t>07:41:31</t>
  </si>
  <si>
    <t>07:41:19</t>
  </si>
  <si>
    <t>07:41:07</t>
  </si>
  <si>
    <t>07:40:55</t>
  </si>
  <si>
    <t>07:40:46</t>
  </si>
  <si>
    <t>07:40:33</t>
  </si>
  <si>
    <t>Diferencia:</t>
  </si>
  <si>
    <t>comision</t>
  </si>
  <si>
    <t>itf</t>
  </si>
  <si>
    <t>remesa</t>
  </si>
  <si>
    <t>ITF</t>
  </si>
  <si>
    <t>SEGUN INSTRU</t>
  </si>
  <si>
    <t>00087205CF</t>
  </si>
  <si>
    <t>00087200CF</t>
  </si>
  <si>
    <t>ABONO REMESAS - 0021742998</t>
  </si>
  <si>
    <t>agencia virtual</t>
  </si>
  <si>
    <t>gerardo</t>
  </si>
  <si>
    <t>comison transf. 03/07</t>
  </si>
  <si>
    <t>Milenka</t>
  </si>
  <si>
    <t>comision transf. - Milenka</t>
  </si>
  <si>
    <t>enision cheque</t>
  </si>
  <si>
    <t>stefanie</t>
  </si>
  <si>
    <t>renesaaa</t>
  </si>
  <si>
    <t>renesa</t>
  </si>
  <si>
    <t>comision transferencia 04/07</t>
  </si>
  <si>
    <t>aldo</t>
  </si>
  <si>
    <t>comision deposito</t>
  </si>
  <si>
    <t>comision deposito 22/06</t>
  </si>
  <si>
    <t>ESTEBAN</t>
  </si>
  <si>
    <t>apertura de plazo - cooperativa</t>
  </si>
  <si>
    <t>comision transf.</t>
  </si>
  <si>
    <t>Giulianna</t>
  </si>
  <si>
    <t>deposito REMESa</t>
  </si>
  <si>
    <t>deposito remesa</t>
  </si>
  <si>
    <t>PAGO DE SE - MAISON DE SAN-SOCIEDAD</t>
  </si>
  <si>
    <t>PG MAISON SANTE  16.03,16.04 Y 16.05 HIGA HIGA DORA/PS Pago de</t>
  </si>
  <si>
    <t>deposito contabilizado 01/06</t>
  </si>
  <si>
    <t>mantenimiento de cuenta</t>
  </si>
  <si>
    <t>transferencia duplicada</t>
  </si>
  <si>
    <t>Naomi</t>
  </si>
  <si>
    <t>dev. Por error comision</t>
  </si>
  <si>
    <t>com. Agencia virtual</t>
  </si>
  <si>
    <t>RETIRO LIBRO</t>
  </si>
  <si>
    <t>tarjeta oh-pendiente extorno</t>
  </si>
  <si>
    <t>remesa?</t>
  </si>
  <si>
    <t>Yukio</t>
  </si>
  <si>
    <t>CARGO PAGO - may2020</t>
  </si>
  <si>
    <t>com transf</t>
  </si>
  <si>
    <t>kaori</t>
  </si>
  <si>
    <t>duplicado transferencia</t>
  </si>
  <si>
    <t>remesa APJ</t>
  </si>
  <si>
    <t>remesa centenario</t>
  </si>
  <si>
    <t>naomi yamakawa</t>
  </si>
  <si>
    <t>retiro banco</t>
  </si>
  <si>
    <t>Kaori</t>
  </si>
  <si>
    <t>Retiro Libro</t>
  </si>
  <si>
    <t>machan</t>
  </si>
  <si>
    <t>N/D AUTOMA - CF00089893</t>
  </si>
  <si>
    <t>N/D AUTOMA - CF00089892</t>
  </si>
  <si>
    <t>N/D AUTOMA - CF00089891</t>
  </si>
  <si>
    <t>itf pendiente 01.02.20</t>
  </si>
  <si>
    <t>transferencia errada</t>
  </si>
  <si>
    <t>ope. Pendiente</t>
  </si>
  <si>
    <t>Monica/Jenny</t>
  </si>
  <si>
    <t>Maison de san-sociedad</t>
  </si>
  <si>
    <t>error de cuenta cargo - moneda</t>
  </si>
  <si>
    <t>milenka 11/01</t>
  </si>
  <si>
    <t>comision transferencia</t>
  </si>
  <si>
    <t>pago memo</t>
  </si>
  <si>
    <t>milenka</t>
  </si>
  <si>
    <t>itf 14.12.19</t>
  </si>
  <si>
    <t>itf pendiente 14.12</t>
  </si>
  <si>
    <t>retiro cheque</t>
  </si>
  <si>
    <t>pendiente regularizar por sistema</t>
  </si>
  <si>
    <t>Error de transferencia</t>
  </si>
  <si>
    <t>gerardo/machan</t>
  </si>
  <si>
    <t>comision transfernecia</t>
  </si>
  <si>
    <t>giulianna</t>
  </si>
  <si>
    <t>rl</t>
  </si>
  <si>
    <t>n 4809445</t>
  </si>
  <si>
    <t>regularizacion</t>
  </si>
  <si>
    <t>naomi asato</t>
  </si>
  <si>
    <t>deposito por regularizar</t>
  </si>
  <si>
    <t>15/11/2019</t>
  </si>
  <si>
    <t>naomi yama</t>
  </si>
  <si>
    <t>error de transf.</t>
  </si>
  <si>
    <t>deposito o/p</t>
  </si>
  <si>
    <t>0315920</t>
  </si>
  <si>
    <t>Comision PTP</t>
  </si>
  <si>
    <t>COM SERV REC MED VIRTUAL</t>
  </si>
  <si>
    <t>Compensacion paserela de pagos</t>
  </si>
  <si>
    <t>Operacion Mastercard</t>
  </si>
  <si>
    <t>Comision Unibanca</t>
  </si>
  <si>
    <t>Comision Mastercard</t>
  </si>
  <si>
    <t>18/07/2020</t>
  </si>
  <si>
    <t>19/07/2020</t>
  </si>
  <si>
    <t>20/07/2020</t>
  </si>
  <si>
    <t>Factura: 003-0074367 Articulo: 08OC0158</t>
  </si>
  <si>
    <t>Factura: 003-0074431 Articulo: 00OC0228</t>
  </si>
  <si>
    <t>Devolucion TD</t>
  </si>
  <si>
    <t>RENIEC  000392</t>
  </si>
  <si>
    <t>COMISION BCR-INTERBACK</t>
  </si>
  <si>
    <t>pago de servicio</t>
  </si>
  <si>
    <t>INTERESES</t>
  </si>
  <si>
    <t xml:space="preserve">COM SERV REC MED VIRTUAL      </t>
  </si>
  <si>
    <t>CHQ IBK 867149452</t>
  </si>
  <si>
    <t>Comision Cobrada del Mes pasado</t>
  </si>
  <si>
    <t>30/06/2020</t>
  </si>
  <si>
    <t>W/T-220720 S350416</t>
  </si>
  <si>
    <t>PAGO DE CUOTA 10 PTMO MF 36 - ACTIAM DWM</t>
  </si>
  <si>
    <t>7.5+7.5+7.5+7.5</t>
  </si>
  <si>
    <t>ITF - PAGO CUOTA 01</t>
  </si>
  <si>
    <t>CARGO POR CONFIRM.LIQUIDACION</t>
  </si>
  <si>
    <t>21/07/2020</t>
  </si>
  <si>
    <t>Pendiente No Procesado</t>
  </si>
  <si>
    <t>Factura: 003-0074480 Articulo: 00OC0312</t>
  </si>
  <si>
    <t>PENDIENTES AL 22/07/2020</t>
  </si>
  <si>
    <t>Correo Autorizacion reenviado 23/07/2020</t>
  </si>
  <si>
    <t>ITF 18/07/2020</t>
  </si>
  <si>
    <t>ITF 19/07/2020</t>
  </si>
  <si>
    <t>Miércoles</t>
  </si>
  <si>
    <t>C:\Zona Trabajo\Excel Macro\Conciliacion\log.txt</t>
  </si>
  <si>
    <t>C:\Zona Trabajo\Excel Macro\Conciliacion\DB_CUSTODIA.accdb</t>
  </si>
  <si>
    <t>\\pacifico-4\E\digitalizacion\CUSTODIA\DB_CUSTODIA.accdb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</si>
</sst>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###,##0.00"/>
    <numFmt numFmtId="166" formatCode="0.000"/>
    <numFmt numFmtId="167" formatCode="[$-F400]h:mm:ss\ AM/PM"/>
    <numFmt numFmtId="168" formatCode="dd/mm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8" fillId="0" borderId="0"/>
  </cellStyleXfs>
  <cellXfs count="9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14" fontId="2" fillId="0" borderId="0" xfId="0" applyNumberFormat="1" applyFont="1"/>
    <xf numFmtId="14" fontId="0" fillId="0" borderId="0" xfId="0" applyNumberForma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64" fontId="0" fillId="0" borderId="0" xfId="0" applyNumberFormat="1"/>
    <xf numFmtId="0" fontId="4" fillId="0" borderId="0" xfId="2"/>
    <xf numFmtId="0" fontId="0" fillId="0" borderId="0" xfId="0" applyAlignment="1">
      <alignment wrapText="1"/>
    </xf>
    <xf numFmtId="0" fontId="3" fillId="0" borderId="0" xfId="0" applyFont="1"/>
    <xf numFmtId="164" fontId="0" fillId="0" borderId="0" xfId="1" applyFont="1"/>
    <xf numFmtId="0" fontId="2" fillId="0" borderId="1" xfId="0" applyFont="1" applyBorder="1" applyAlignment="1">
      <alignment vertical="center"/>
    </xf>
    <xf numFmtId="164" fontId="0" fillId="0" borderId="1" xfId="0" applyNumberFormat="1" applyBorder="1"/>
    <xf numFmtId="14" fontId="0" fillId="0" borderId="0" xfId="1" applyNumberFormat="1" applyFont="1"/>
    <xf numFmtId="4" fontId="0" fillId="0" borderId="0" xfId="1" applyNumberFormat="1" applyFont="1"/>
    <xf numFmtId="49" fontId="0" fillId="0" borderId="0" xfId="0" applyNumberFormat="1" applyAlignment="1">
      <alignment horizontal="left"/>
    </xf>
    <xf numFmtId="0" fontId="0" fillId="0" borderId="2" xfId="0" applyBorder="1"/>
    <xf numFmtId="4" fontId="0" fillId="0" borderId="2" xfId="1" applyNumberFormat="1" applyFont="1" applyBorder="1"/>
    <xf numFmtId="4" fontId="0" fillId="0" borderId="0" xfId="0" applyNumberFormat="1"/>
    <xf numFmtId="4" fontId="2" fillId="0" borderId="0" xfId="1" applyNumberFormat="1" applyFont="1" applyAlignment="1">
      <alignment horizontal="right"/>
    </xf>
    <xf numFmtId="14" fontId="3" fillId="0" borderId="0" xfId="0" applyNumberFormat="1" applyFont="1"/>
    <xf numFmtId="4" fontId="0" fillId="0" borderId="0" xfId="1" applyNumberFormat="1" applyFont="1" applyAlignment="1">
      <alignment horizontal="left"/>
    </xf>
    <xf numFmtId="0" fontId="2" fillId="0" borderId="2" xfId="0" applyFont="1" applyBorder="1"/>
    <xf numFmtId="4" fontId="2" fillId="0" borderId="2" xfId="1" applyNumberFormat="1" applyFont="1" applyBorder="1"/>
    <xf numFmtId="164" fontId="0" fillId="2" borderId="0" xfId="0" applyNumberFormat="1" applyFill="1"/>
    <xf numFmtId="14" fontId="0" fillId="0" borderId="0" xfId="1" applyNumberFormat="1" applyFont="1" applyAlignment="1">
      <alignment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2" xfId="0" applyNumberFormat="1" applyBorder="1"/>
    <xf numFmtId="165" fontId="0" fillId="0" borderId="0" xfId="0" applyNumberFormat="1"/>
    <xf numFmtId="14" fontId="0" fillId="0" borderId="0" xfId="0" applyNumberFormat="1"/>
    <xf numFmtId="2" fontId="0" fillId="0" borderId="0" xfId="0" applyNumberFormat="1"/>
    <xf numFmtId="164" fontId="0" fillId="3" borderId="0" xfId="1" applyFont="1" applyFill="1"/>
    <xf numFmtId="164" fontId="0" fillId="4" borderId="0" xfId="1" applyFont="1" applyFill="1"/>
    <xf numFmtId="164" fontId="0" fillId="5" borderId="0" xfId="1" applyFont="1" applyFill="1"/>
    <xf numFmtId="164" fontId="0" fillId="2" borderId="0" xfId="1" applyFont="1" applyFill="1"/>
    <xf numFmtId="164" fontId="0" fillId="6" borderId="2" xfId="1" applyFont="1" applyFill="1" applyBorder="1"/>
    <xf numFmtId="164" fontId="0" fillId="7" borderId="0" xfId="1" applyFont="1" applyFill="1"/>
    <xf numFmtId="2" fontId="2" fillId="8" borderId="2" xfId="0" applyNumberFormat="1" applyFont="1" applyFill="1" applyBorder="1" applyAlignment="1">
      <alignment horizontal="center"/>
    </xf>
    <xf numFmtId="2" fontId="0" fillId="0" borderId="2" xfId="0" applyNumberFormat="1" applyBorder="1"/>
    <xf numFmtId="166" fontId="0" fillId="4" borderId="2" xfId="0" applyNumberFormat="1" applyFill="1" applyBorder="1"/>
    <xf numFmtId="2" fontId="0" fillId="9" borderId="2" xfId="0" applyNumberFormat="1" applyFill="1" applyBorder="1"/>
    <xf numFmtId="2" fontId="0" fillId="10" borderId="2" xfId="0" applyNumberFormat="1" applyFill="1" applyBorder="1"/>
    <xf numFmtId="10" fontId="0" fillId="0" borderId="0" xfId="0" applyNumberFormat="1"/>
    <xf numFmtId="2" fontId="0" fillId="4" borderId="2" xfId="0" applyNumberFormat="1" applyFill="1" applyBorder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5" fillId="0" borderId="2" xfId="1" applyFont="1" applyBorder="1"/>
    <xf numFmtId="167" fontId="0" fillId="0" borderId="0" xfId="0" applyNumberFormat="1"/>
    <xf numFmtId="4" fontId="3" fillId="0" borderId="0" xfId="1" applyNumberFormat="1" applyFont="1"/>
    <xf numFmtId="0" fontId="6" fillId="0" borderId="0" xfId="0" applyNumberFormat="1" applyFont="1" applyAlignment="1">
      <alignment horizontal="right"/>
    </xf>
    <xf numFmtId="4" fontId="6" fillId="0" borderId="0" xfId="0" applyNumberFormat="1" applyFont="1" applyAlignment="1">
      <alignment horizontal="right"/>
    </xf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4" fontId="7" fillId="0" borderId="0" xfId="0" applyNumberFormat="1" applyFont="1" applyAlignment="1" applyProtection="1">
      <alignment horizontal="right"/>
      <protection locked="0"/>
    </xf>
    <xf numFmtId="14" fontId="0" fillId="0" borderId="0" xfId="0" applyNumberFormat="1"/>
    <xf numFmtId="0" fontId="2" fillId="0" borderId="2" xfId="0" applyFont="1" applyBorder="1" applyAlignment="1">
      <alignment horizontal="center"/>
    </xf>
    <xf numFmtId="14" fontId="2" fillId="0" borderId="2" xfId="0" applyNumberFormat="1" applyFont="1" applyBorder="1"/>
    <xf numFmtId="0" fontId="0" fillId="0" borderId="9" xfId="0" applyBorder="1"/>
    <xf numFmtId="0" fontId="2" fillId="0" borderId="10" xfId="0" applyFont="1" applyBorder="1"/>
    <xf numFmtId="0" fontId="2" fillId="0" borderId="0" xfId="0" applyFont="1" applyBorder="1"/>
    <xf numFmtId="49" fontId="0" fillId="0" borderId="2" xfId="0" applyNumberFormat="1" applyBorder="1"/>
    <xf numFmtId="4" fontId="2" fillId="0" borderId="0" xfId="1" applyNumberFormat="1" applyFont="1"/>
    <xf numFmtId="4" fontId="0" fillId="0" borderId="0" xfId="1" applyNumberFormat="1" applyFont="1" applyAlignment="1">
      <alignment vertical="center"/>
    </xf>
    <xf numFmtId="49" fontId="0" fillId="0" borderId="0" xfId="0" applyNumberFormat="1"/>
    <xf numFmtId="49" fontId="0" fillId="0" borderId="0" xfId="1" applyNumberFormat="1" applyFont="1" applyAlignment="1">
      <alignment vertical="center"/>
    </xf>
    <xf numFmtId="49" fontId="0" fillId="0" borderId="0" xfId="0" applyNumberFormat="1" applyAlignment="1">
      <alignment vertical="center"/>
    </xf>
    <xf numFmtId="49" fontId="3" fillId="0" borderId="0" xfId="1" applyNumberFormat="1" applyFont="1" applyAlignment="1">
      <alignment horizontal="left"/>
    </xf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vertical="center"/>
    </xf>
    <xf numFmtId="49" fontId="0" fillId="0" borderId="0" xfId="1" applyNumberFormat="1" applyFont="1"/>
    <xf numFmtId="49" fontId="3" fillId="0" borderId="0" xfId="1" applyNumberFormat="1" applyFont="1"/>
    <xf numFmtId="4" fontId="0" fillId="0" borderId="0" xfId="0" applyNumberFormat="1" applyAlignment="1">
      <alignment vertical="center"/>
    </xf>
    <xf numFmtId="4" fontId="0" fillId="0" borderId="2" xfId="0" applyNumberFormat="1" applyBorder="1"/>
    <xf numFmtId="14" fontId="0" fillId="0" borderId="0" xfId="0" applyNumberFormat="1"/>
    <xf numFmtId="14" fontId="0" fillId="0" borderId="0" xfId="0" applyNumberFormat="1"/>
    <xf numFmtId="0" fontId="0" fillId="0" borderId="0" xfId="1" applyNumberFormat="1" applyFont="1"/>
    <xf numFmtId="14" fontId="0" fillId="0" borderId="0" xfId="0" applyNumberFormat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10" fillId="0" borderId="0" xfId="0" applyFon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5" fillId="0" borderId="2" xfId="1" applyFont="1" applyBorder="1" applyAlignment="1">
      <alignment horizontal="center"/>
    </xf>
    <xf numFmtId="168" fontId="0" fillId="0" borderId="0" xfId="1" applyNumberFormat="1" applyFont="1" applyAlignment="1"/>
    <xf numFmtId="168" fontId="0" fillId="0" borderId="0" xfId="1" applyNumberFormat="1" applyFont="1" applyAlignment="1">
      <alignment horizontal="right" vertical="center"/>
    </xf>
  </cellXfs>
  <cellStyles count="4">
    <cellStyle name="Hipervínculo" xfId="2" builtinId="8"/>
    <cellStyle name="Millares" xfId="1" builtinId="3"/>
    <cellStyle name="Normal" xfId="0" builtinId="0"/>
    <cellStyle name="Normal 2" xfId="3" xr:uid="{00000000-0005-0000-0000-000003000000}"/>
  </cellStyles>
  <dxfs count="4">
    <dxf>
      <border>
        <left/>
        <right/>
        <top/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4</xdr:row>
          <xdr:rowOff>19050</xdr:rowOff>
        </xdr:from>
        <xdr:to>
          <xdr:col>5</xdr:col>
          <xdr:colOff>1743075</xdr:colOff>
          <xdr:row>6</xdr:row>
          <xdr:rowOff>38100</xdr:rowOff>
        </xdr:to>
        <xdr:sp macro="" textlink="">
          <xdr:nvSpPr>
            <xdr:cNvPr id="1026" name="tbFech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1333500</xdr:colOff>
          <xdr:row>1</xdr:row>
          <xdr:rowOff>19050</xdr:rowOff>
        </xdr:from>
        <xdr:to>
          <xdr:col>4</xdr:col>
          <xdr:colOff>142875</xdr:colOff>
          <xdr:row>2</xdr:row>
          <xdr:rowOff>161925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Cuenta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8</xdr:row>
          <xdr:rowOff>85725</xdr:rowOff>
        </xdr:from>
        <xdr:to>
          <xdr:col>4</xdr:col>
          <xdr:colOff>1257300</xdr:colOff>
          <xdr:row>10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1562100</xdr:colOff>
          <xdr:row>3</xdr:row>
          <xdr:rowOff>0</xdr:rowOff>
        </xdr:from>
        <xdr:to>
          <xdr:col>4</xdr:col>
          <xdr:colOff>2028825</xdr:colOff>
          <xdr:row>6</xdr:row>
          <xdr:rowOff>38100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1847850</xdr:colOff>
          <xdr:row>3</xdr:row>
          <xdr:rowOff>0</xdr:rowOff>
        </xdr:from>
        <xdr:to>
          <xdr:col>6</xdr:col>
          <xdr:colOff>371475</xdr:colOff>
          <xdr:row>6</xdr:row>
          <xdr:rowOff>38100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</xdr:row>
          <xdr:rowOff>19050</xdr:rowOff>
        </xdr:from>
        <xdr:to>
          <xdr:col>5</xdr:col>
          <xdr:colOff>1666875</xdr:colOff>
          <xdr:row>2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1</xdr:row>
          <xdr:rowOff>104775</xdr:rowOff>
        </xdr:from>
        <xdr:to>
          <xdr:col>7</xdr:col>
          <xdr:colOff>257175</xdr:colOff>
          <xdr:row>4</xdr:row>
          <xdr:rowOff>57150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5</xdr:row>
          <xdr:rowOff>104775</xdr:rowOff>
        </xdr:from>
        <xdr:to>
          <xdr:col>7</xdr:col>
          <xdr:colOff>257175</xdr:colOff>
          <xdr:row>7</xdr:row>
          <xdr:rowOff>57150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8</xdr:row>
          <xdr:rowOff>171450</xdr:rowOff>
        </xdr:from>
        <xdr:to>
          <xdr:col>7</xdr:col>
          <xdr:colOff>257175</xdr:colOff>
          <xdr:row>10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</xdr:row>
          <xdr:rowOff>0</xdr:rowOff>
        </xdr:from>
        <xdr:to>
          <xdr:col>8</xdr:col>
          <xdr:colOff>752475</xdr:colOff>
          <xdr:row>2</xdr:row>
          <xdr:rowOff>142875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Rango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4</xdr:row>
          <xdr:rowOff>28575</xdr:rowOff>
        </xdr:from>
        <xdr:to>
          <xdr:col>8</xdr:col>
          <xdr:colOff>762000</xdr:colOff>
          <xdr:row>6</xdr:row>
          <xdr:rowOff>57150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Pendientes a la Fecha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619125</xdr:colOff>
          <xdr:row>6</xdr:row>
          <xdr:rowOff>123825</xdr:rowOff>
        </xdr:from>
        <xdr:to>
          <xdr:col>8</xdr:col>
          <xdr:colOff>762000</xdr:colOff>
          <xdr:row>9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9</xdr:row>
          <xdr:rowOff>66675</xdr:rowOff>
        </xdr:from>
        <xdr:to>
          <xdr:col>8</xdr:col>
          <xdr:colOff>771525</xdr:colOff>
          <xdr:row>11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Comparar Listas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2</xdr:row>
          <xdr:rowOff>66675</xdr:rowOff>
        </xdr:from>
        <xdr:to>
          <xdr:col>11</xdr:col>
          <xdr:colOff>285750</xdr:colOff>
          <xdr:row>4</xdr:row>
          <xdr:rowOff>47625</xdr:rowOff>
        </xdr:to>
        <xdr:sp macro="" textlink="">
          <xdr:nvSpPr>
            <xdr:cNvPr id="18433" name="btRegresa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1</xdr:row>
          <xdr:rowOff>28575</xdr:rowOff>
        </xdr:from>
        <xdr:to>
          <xdr:col>6</xdr:col>
          <xdr:colOff>514350</xdr:colOff>
          <xdr:row>3</xdr:row>
          <xdr:rowOff>9525</xdr:rowOff>
        </xdr:to>
        <xdr:sp macro="" textlink="">
          <xdr:nvSpPr>
            <xdr:cNvPr id="4097" name="btRegres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161925</xdr:rowOff>
        </xdr:from>
        <xdr:to>
          <xdr:col>2</xdr:col>
          <xdr:colOff>28575</xdr:colOff>
          <xdr:row>2</xdr:row>
          <xdr:rowOff>85725</xdr:rowOff>
        </xdr:to>
        <xdr:sp macro="" textlink="">
          <xdr:nvSpPr>
            <xdr:cNvPr id="14337" name="btBuscarSuma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161925</xdr:rowOff>
        </xdr:from>
        <xdr:to>
          <xdr:col>6</xdr:col>
          <xdr:colOff>371475</xdr:colOff>
          <xdr:row>2</xdr:row>
          <xdr:rowOff>47625</xdr:rowOff>
        </xdr:to>
        <xdr:sp macro="" textlink="">
          <xdr:nvSpPr>
            <xdr:cNvPr id="14338" name="cmbAlternativa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0</xdr:row>
          <xdr:rowOff>104775</xdr:rowOff>
        </xdr:from>
        <xdr:to>
          <xdr:col>9</xdr:col>
          <xdr:colOff>457200</xdr:colOff>
          <xdr:row>2</xdr:row>
          <xdr:rowOff>76200</xdr:rowOff>
        </xdr:to>
        <xdr:sp macro="" textlink="">
          <xdr:nvSpPr>
            <xdr:cNvPr id="14339" name="btRegresar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0</xdr:row>
          <xdr:rowOff>57150</xdr:rowOff>
        </xdr:from>
        <xdr:to>
          <xdr:col>5</xdr:col>
          <xdr:colOff>409575</xdr:colOff>
          <xdr:row>1</xdr:row>
          <xdr:rowOff>161925</xdr:rowOff>
        </xdr:to>
        <xdr:sp macro="" textlink="">
          <xdr:nvSpPr>
            <xdr:cNvPr id="15361" name="btCompara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0</xdr:row>
          <xdr:rowOff>57150</xdr:rowOff>
        </xdr:from>
        <xdr:to>
          <xdr:col>11</xdr:col>
          <xdr:colOff>28575</xdr:colOff>
          <xdr:row>3</xdr:row>
          <xdr:rowOff>9525</xdr:rowOff>
        </xdr:to>
        <xdr:sp macro="" textlink="">
          <xdr:nvSpPr>
            <xdr:cNvPr id="15362" name="btRegresa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4</xdr:row>
          <xdr:rowOff>0</xdr:rowOff>
        </xdr:from>
        <xdr:to>
          <xdr:col>5</xdr:col>
          <xdr:colOff>428625</xdr:colOff>
          <xdr:row>5</xdr:row>
          <xdr:rowOff>114300</xdr:rowOff>
        </xdr:to>
        <xdr:sp macro="" textlink="">
          <xdr:nvSpPr>
            <xdr:cNvPr id="15363" name="btLimpia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11</xdr:row>
      <xdr:rowOff>0</xdr:rowOff>
    </xdr:from>
    <xdr:to>
      <xdr:col>4</xdr:col>
      <xdr:colOff>279400</xdr:colOff>
      <xdr:row>12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124200" y="2095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cifico-4\E\Reporte%20Conciliacion\CONC_DET_OPE_XID_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ferencia"/>
      <sheetName val="Exclusiones"/>
      <sheetName val="Responsable-Especifico"/>
      <sheetName val="Responsable-Glosa"/>
      <sheetName val="Banco"/>
      <sheetName val="G_Responsable"/>
      <sheetName val="G_Consolidado"/>
      <sheetName val="G_Identificabilidad"/>
      <sheetName val="G_Soles"/>
      <sheetName val="G_Dolares"/>
      <sheetName val="G_Identefic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F2">
            <v>3.37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../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U125"/>
  <sheetViews>
    <sheetView tabSelected="1" zoomScaleNormal="100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D15" sqref="D15"/>
    </sheetView>
  </sheetViews>
  <sheetFormatPr baseColWidth="10" defaultRowHeight="15" x14ac:dyDescent="0.25"/>
  <cols>
    <col min="1" max="1" width="1.5703125" customWidth="1"/>
    <col min="2" max="2" width="15.7109375" customWidth="1"/>
    <col min="3" max="3" width="21.28515625" customWidth="1"/>
    <col min="4" max="4" width="17.140625" style="15" customWidth="1"/>
    <col min="5" max="5" width="31.7109375" style="76" customWidth="1"/>
    <col min="6" max="6" width="29.140625" style="70" customWidth="1"/>
    <col min="7" max="7" width="31.5703125" style="70" customWidth="1"/>
    <col min="8" max="8" width="24.140625" style="70" customWidth="1"/>
    <col min="9" max="9" width="12.5703125" style="82" bestFit="1" customWidth="1"/>
    <col min="10" max="10" width="18.5703125" hidden="1" customWidth="1"/>
    <col min="11" max="11" width="19.85546875" style="15" customWidth="1"/>
    <col min="12" max="12" width="41.85546875" style="19" customWidth="1"/>
    <col min="13" max="13" width="26.28515625" style="70" customWidth="1"/>
    <col min="14" max="14" width="20.7109375" style="70" bestFit="1" customWidth="1"/>
    <col min="15" max="15" width="22.5703125" customWidth="1"/>
    <col min="16" max="16" width="20.7109375" customWidth="1"/>
    <col min="17" max="17" width="21.85546875" customWidth="1"/>
  </cols>
  <sheetData>
    <row r="1" spans="1:21" ht="4.5" customHeight="1" x14ac:dyDescent="0.25">
      <c r="A1" s="10">
        <v>19</v>
      </c>
      <c r="E1" s="70"/>
    </row>
    <row r="2" spans="1:21" x14ac:dyDescent="0.25">
      <c r="B2" s="1" t="s">
        <v>0</v>
      </c>
      <c r="C2" s="2" t="s">
        <v>25</v>
      </c>
      <c r="E2" s="70"/>
      <c r="I2" s="14"/>
      <c r="J2" s="31"/>
      <c r="K2" s="68" t="s">
        <v>0</v>
      </c>
      <c r="L2" s="19" t="str">
        <f>+BANCO</f>
        <v>Banco Internacional del Peru - INTERBANK</v>
      </c>
      <c r="O2" s="31"/>
      <c r="P2" s="31"/>
      <c r="Q2" s="31"/>
    </row>
    <row r="3" spans="1:21" x14ac:dyDescent="0.25">
      <c r="A3" s="21">
        <v>44055</v>
      </c>
      <c r="B3" s="1" t="s">
        <v>2</v>
      </c>
      <c r="C3" s="16" t="s">
        <v>26</v>
      </c>
      <c r="E3" s="70"/>
      <c r="I3" s="14"/>
      <c r="J3" s="31"/>
      <c r="K3" s="68" t="s">
        <v>2</v>
      </c>
      <c r="L3" s="19" t="str">
        <f>+CUENTA</f>
        <v>041-3000106330</v>
      </c>
      <c r="O3" s="31"/>
      <c r="P3" s="31"/>
      <c r="Q3" s="31"/>
    </row>
    <row r="4" spans="1:21" hidden="1" x14ac:dyDescent="0.25">
      <c r="A4" s="21"/>
      <c r="B4" s="3" t="s">
        <v>3</v>
      </c>
      <c r="C4" s="4" t="s">
        <v>89</v>
      </c>
      <c r="E4" s="70"/>
      <c r="I4" s="14"/>
      <c r="J4" s="31"/>
      <c r="K4" s="68" t="s">
        <v>3</v>
      </c>
      <c r="L4" s="19" t="str">
        <f>+MONEDA</f>
        <v>SOLES</v>
      </c>
      <c r="O4" s="31"/>
      <c r="P4" s="31"/>
      <c r="Q4" s="31"/>
    </row>
    <row r="5" spans="1:21" ht="8.25" customHeight="1" x14ac:dyDescent="0.25">
      <c r="E5" s="70"/>
      <c r="I5" s="14"/>
      <c r="J5" s="31"/>
      <c r="O5" s="31"/>
      <c r="P5" s="31"/>
      <c r="Q5" s="31"/>
    </row>
    <row r="6" spans="1:21" s="5" customFormat="1" ht="15.75" customHeight="1" x14ac:dyDescent="0.25">
      <c r="B6" s="6" t="s">
        <v>5</v>
      </c>
      <c r="C6" s="15">
        <v>4214770.42</v>
      </c>
      <c r="D6" s="91">
        <v>44038</v>
      </c>
      <c r="E6" s="71"/>
      <c r="F6" s="72"/>
      <c r="G6" s="72"/>
      <c r="H6" s="72"/>
      <c r="I6" s="26"/>
      <c r="J6" s="26"/>
      <c r="K6" s="69"/>
      <c r="L6" s="78"/>
      <c r="M6" s="72"/>
      <c r="N6" s="72"/>
      <c r="O6" s="28"/>
      <c r="P6" s="28"/>
      <c r="Q6" s="28"/>
    </row>
    <row r="7" spans="1:21" s="5" customFormat="1" ht="14.25" customHeight="1" x14ac:dyDescent="0.25">
      <c r="B7" s="6" t="s">
        <v>4</v>
      </c>
      <c r="C7" s="15">
        <v>4219941.37</v>
      </c>
      <c r="D7" s="90">
        <v>44038</v>
      </c>
      <c r="E7" s="73"/>
      <c r="F7" s="74" t="s">
        <v>370</v>
      </c>
      <c r="G7" s="72"/>
      <c r="H7" s="72"/>
      <c r="I7" s="26"/>
      <c r="J7" s="28"/>
      <c r="K7" s="69"/>
      <c r="L7" s="78"/>
      <c r="M7" s="72"/>
      <c r="N7" s="72"/>
      <c r="O7" s="28"/>
      <c r="P7" s="28"/>
      <c r="Q7" s="28"/>
    </row>
    <row r="8" spans="1:21" ht="6" customHeight="1" x14ac:dyDescent="0.25">
      <c r="E8" s="70"/>
      <c r="I8" s="14"/>
      <c r="J8" s="31"/>
      <c r="K8" s="54" t="s">
        <v>100</v>
      </c>
      <c r="L8" s="54">
        <v>4219941.37</v>
      </c>
      <c r="M8" s="77"/>
      <c r="O8" s="31"/>
      <c r="P8" s="31"/>
      <c r="Q8" s="31"/>
    </row>
    <row r="9" spans="1:21" x14ac:dyDescent="0.25">
      <c r="B9" s="6" t="s">
        <v>43</v>
      </c>
      <c r="C9" s="7">
        <f>+SALDO_SISTEMA-SALDO_BANCO</f>
        <v>-5170.9500000001863</v>
      </c>
      <c r="D9" s="20"/>
      <c r="E9" s="71"/>
      <c r="I9" s="14"/>
      <c r="J9" s="31"/>
      <c r="K9" s="15" t="s">
        <v>99</v>
      </c>
      <c r="L9" s="15">
        <f>SALDO_BANCO_ANTERIOR+SUM(K14:K1048576)</f>
        <v>4219941.37</v>
      </c>
      <c r="O9" s="31"/>
      <c r="P9" s="31"/>
      <c r="Q9" s="31"/>
    </row>
    <row r="10" spans="1:21" ht="15.75" thickBot="1" x14ac:dyDescent="0.3">
      <c r="B10" s="12" t="s">
        <v>42</v>
      </c>
      <c r="C10" s="13">
        <f>SUMIF(H14:H1048576,"",D14:D1048576)</f>
        <v>5170.95</v>
      </c>
      <c r="E10" s="75"/>
      <c r="I10" s="14"/>
      <c r="J10" s="31"/>
      <c r="K10" s="15" t="s">
        <v>256</v>
      </c>
      <c r="L10" s="19">
        <f>SALDO_CALCULADO-SALDO_BANCO</f>
        <v>0</v>
      </c>
      <c r="O10" s="31"/>
      <c r="P10" s="31"/>
      <c r="Q10" s="31"/>
    </row>
    <row r="11" spans="1:21" x14ac:dyDescent="0.25">
      <c r="C11" s="25">
        <f>ROUND(C9+C10,2)</f>
        <v>0</v>
      </c>
      <c r="E11" s="70"/>
      <c r="I11" s="14"/>
      <c r="J11" s="31"/>
      <c r="O11" s="31"/>
      <c r="P11" s="31"/>
      <c r="Q11" s="31"/>
    </row>
    <row r="12" spans="1:21" ht="7.5" customHeight="1" x14ac:dyDescent="0.25">
      <c r="E12" s="70"/>
      <c r="I12" s="14"/>
      <c r="J12" s="31"/>
      <c r="O12" s="31"/>
      <c r="P12" s="31"/>
      <c r="Q12" s="31"/>
    </row>
    <row r="13" spans="1:21" ht="15.75" x14ac:dyDescent="0.25">
      <c r="B13" s="17" t="s">
        <v>40</v>
      </c>
      <c r="C13" s="17" t="s">
        <v>39</v>
      </c>
      <c r="D13" s="18" t="s">
        <v>35</v>
      </c>
      <c r="E13" s="67" t="s">
        <v>36</v>
      </c>
      <c r="F13" s="67" t="s">
        <v>37</v>
      </c>
      <c r="G13" s="67" t="s">
        <v>38</v>
      </c>
      <c r="H13" s="67" t="s">
        <v>41</v>
      </c>
      <c r="I13" s="14"/>
      <c r="J13" s="31" t="s">
        <v>91</v>
      </c>
      <c r="K13" s="18" t="s">
        <v>92</v>
      </c>
      <c r="L13" s="79" t="s">
        <v>93</v>
      </c>
      <c r="M13" s="67" t="s">
        <v>97</v>
      </c>
      <c r="N13" s="67" t="s">
        <v>94</v>
      </c>
      <c r="O13" s="29" t="s">
        <v>95</v>
      </c>
      <c r="P13" s="29" t="s">
        <v>96</v>
      </c>
      <c r="Q13" s="31"/>
    </row>
    <row r="14" spans="1:21" x14ac:dyDescent="0.25">
      <c r="B14">
        <v>3913</v>
      </c>
      <c r="C14" s="4">
        <v>44032</v>
      </c>
      <c r="D14" s="15">
        <v>-0.75</v>
      </c>
      <c r="E14" s="70" t="s">
        <v>368</v>
      </c>
      <c r="I14" s="14"/>
      <c r="J14" s="31"/>
      <c r="O14" s="31"/>
      <c r="P14" s="31"/>
      <c r="Q14" s="31"/>
      <c r="R14" s="31"/>
      <c r="S14" s="31"/>
      <c r="T14" s="31"/>
      <c r="U14" s="31"/>
    </row>
    <row r="15" spans="1:21" x14ac:dyDescent="0.25">
      <c r="B15">
        <v>3914</v>
      </c>
      <c r="C15" s="4">
        <v>44032</v>
      </c>
      <c r="D15" s="15">
        <v>-0.4</v>
      </c>
      <c r="E15" s="70" t="s">
        <v>369</v>
      </c>
      <c r="I15" s="14"/>
      <c r="J15" s="31"/>
      <c r="O15" s="31"/>
      <c r="P15" s="31"/>
      <c r="Q15" s="31"/>
      <c r="R15" s="31"/>
      <c r="S15" s="31"/>
      <c r="T15" s="31"/>
      <c r="U15" s="31"/>
    </row>
    <row r="16" spans="1:21" x14ac:dyDescent="0.25">
      <c r="B16">
        <v>3843</v>
      </c>
      <c r="C16" s="4">
        <v>44033</v>
      </c>
      <c r="D16" s="15">
        <v>-30</v>
      </c>
      <c r="E16" s="70" t="s">
        <v>338</v>
      </c>
      <c r="F16" s="70" t="s">
        <v>360</v>
      </c>
      <c r="G16" s="70" t="s">
        <v>367</v>
      </c>
      <c r="I16" s="14"/>
      <c r="J16" s="31"/>
      <c r="O16" s="31"/>
      <c r="P16" s="31"/>
      <c r="Q16" s="31"/>
      <c r="R16" s="31"/>
      <c r="S16" s="31"/>
      <c r="T16" s="31"/>
      <c r="U16" s="31"/>
    </row>
    <row r="17" spans="2:21" x14ac:dyDescent="0.25">
      <c r="B17">
        <v>3908</v>
      </c>
      <c r="C17" s="4">
        <v>44036</v>
      </c>
      <c r="D17" s="15">
        <v>-25.9</v>
      </c>
      <c r="E17" s="70" t="s">
        <v>257</v>
      </c>
      <c r="I17" s="14"/>
      <c r="J17" s="31"/>
      <c r="O17" s="31"/>
      <c r="P17" s="31"/>
      <c r="Q17" s="31"/>
      <c r="R17" s="31"/>
      <c r="S17" s="31"/>
      <c r="T17" s="31"/>
      <c r="U17" s="31"/>
    </row>
    <row r="18" spans="2:21" x14ac:dyDescent="0.25">
      <c r="B18">
        <v>3915</v>
      </c>
      <c r="C18" s="4">
        <v>44037</v>
      </c>
      <c r="D18" s="15">
        <v>630</v>
      </c>
      <c r="E18" s="70" t="s">
        <v>125</v>
      </c>
      <c r="I18" s="14"/>
      <c r="J18" s="31"/>
      <c r="O18" s="31"/>
      <c r="P18" s="31"/>
      <c r="Q18" s="31"/>
      <c r="R18" s="31"/>
      <c r="S18" s="31"/>
      <c r="T18" s="31"/>
      <c r="U18" s="31"/>
    </row>
    <row r="19" spans="2:21" x14ac:dyDescent="0.25">
      <c r="B19">
        <v>3916</v>
      </c>
      <c r="C19" s="4">
        <v>44037</v>
      </c>
      <c r="D19" s="15">
        <v>741</v>
      </c>
      <c r="E19" s="70" t="s">
        <v>125</v>
      </c>
      <c r="I19" s="14"/>
      <c r="J19" s="31"/>
      <c r="O19" s="31"/>
      <c r="P19" s="31"/>
      <c r="Q19" s="31"/>
      <c r="R19" s="31"/>
      <c r="S19" s="31"/>
      <c r="T19" s="31"/>
      <c r="U19" s="31"/>
    </row>
    <row r="20" spans="2:21" x14ac:dyDescent="0.25">
      <c r="B20">
        <v>3917</v>
      </c>
      <c r="C20" s="4">
        <v>44037</v>
      </c>
      <c r="D20" s="15">
        <v>1600</v>
      </c>
      <c r="E20" s="70" t="s">
        <v>125</v>
      </c>
      <c r="I20" s="14"/>
      <c r="J20" s="31"/>
      <c r="O20" s="31"/>
      <c r="P20" s="31"/>
      <c r="Q20" s="31"/>
      <c r="R20" s="31"/>
      <c r="S20" s="31"/>
      <c r="T20" s="31"/>
      <c r="U20" s="31"/>
    </row>
    <row r="21" spans="2:21" x14ac:dyDescent="0.25">
      <c r="B21">
        <v>3918</v>
      </c>
      <c r="C21" s="4">
        <v>44037</v>
      </c>
      <c r="D21" s="15">
        <v>64</v>
      </c>
      <c r="E21" s="70" t="s">
        <v>125</v>
      </c>
      <c r="I21" s="14"/>
      <c r="J21" s="31"/>
      <c r="O21" s="31"/>
      <c r="P21" s="31"/>
      <c r="Q21" s="31"/>
      <c r="R21" s="31"/>
      <c r="S21" s="31"/>
      <c r="T21" s="31"/>
      <c r="U21" s="31"/>
    </row>
    <row r="22" spans="2:21" x14ac:dyDescent="0.25">
      <c r="B22">
        <v>3919</v>
      </c>
      <c r="C22" s="4">
        <v>44037</v>
      </c>
      <c r="D22" s="15">
        <v>900</v>
      </c>
      <c r="E22" s="70" t="s">
        <v>125</v>
      </c>
      <c r="I22" s="14"/>
      <c r="J22" s="31"/>
      <c r="O22" s="31"/>
      <c r="P22" s="31"/>
      <c r="Q22" s="31"/>
      <c r="R22" s="31"/>
      <c r="S22" s="31"/>
      <c r="T22" s="31"/>
      <c r="U22" s="31"/>
    </row>
    <row r="23" spans="2:21" x14ac:dyDescent="0.25">
      <c r="B23">
        <v>3920</v>
      </c>
      <c r="C23" s="4">
        <v>44037</v>
      </c>
      <c r="D23" s="15">
        <v>900</v>
      </c>
      <c r="E23" s="70" t="s">
        <v>125</v>
      </c>
      <c r="I23" s="14"/>
      <c r="J23" s="31"/>
      <c r="O23" s="31"/>
      <c r="P23" s="31"/>
      <c r="Q23" s="31"/>
      <c r="R23" s="31"/>
      <c r="S23" s="31"/>
      <c r="T23" s="31"/>
      <c r="U23" s="31"/>
    </row>
    <row r="24" spans="2:21" x14ac:dyDescent="0.25">
      <c r="B24">
        <v>3921</v>
      </c>
      <c r="C24" s="4">
        <v>44037</v>
      </c>
      <c r="D24" s="15">
        <v>393</v>
      </c>
      <c r="E24" s="70" t="s">
        <v>125</v>
      </c>
      <c r="I24" s="14"/>
      <c r="J24" s="31"/>
      <c r="O24" s="31"/>
      <c r="P24" s="31"/>
      <c r="Q24" s="31"/>
      <c r="R24" s="31"/>
      <c r="S24" s="31"/>
      <c r="T24" s="31"/>
      <c r="U24" s="31"/>
    </row>
    <row r="25" spans="2:21" x14ac:dyDescent="0.25">
      <c r="C25" s="4"/>
      <c r="E25" s="70"/>
      <c r="I25" s="14"/>
      <c r="J25" s="31"/>
      <c r="O25" s="31"/>
      <c r="P25" s="31"/>
      <c r="Q25" s="31"/>
      <c r="R25" s="31"/>
      <c r="S25" s="31"/>
      <c r="T25" s="31"/>
      <c r="U25" s="31"/>
    </row>
    <row r="26" spans="2:21" x14ac:dyDescent="0.25">
      <c r="C26" s="4"/>
      <c r="E26" s="70"/>
      <c r="I26" s="14"/>
      <c r="J26" s="31"/>
      <c r="O26" s="31"/>
      <c r="P26" s="31"/>
      <c r="Q26" s="31"/>
      <c r="R26" s="31"/>
      <c r="S26" s="31"/>
      <c r="T26" s="31"/>
      <c r="U26" s="31"/>
    </row>
    <row r="27" spans="2:21" x14ac:dyDescent="0.25">
      <c r="C27" s="4"/>
      <c r="E27" s="70"/>
      <c r="I27" s="14"/>
      <c r="J27" s="31"/>
      <c r="O27" s="31"/>
      <c r="P27" s="31"/>
      <c r="Q27" s="31"/>
      <c r="R27" s="31"/>
      <c r="S27" s="31"/>
      <c r="T27" s="31"/>
      <c r="U27" s="31"/>
    </row>
    <row r="28" spans="2:21" x14ac:dyDescent="0.25">
      <c r="C28" s="4"/>
      <c r="E28" s="70"/>
      <c r="I28" s="14"/>
      <c r="J28" s="31"/>
      <c r="O28" s="31"/>
      <c r="P28" s="31"/>
      <c r="Q28" s="31"/>
      <c r="R28" s="31"/>
      <c r="S28" s="31"/>
      <c r="T28" s="31"/>
      <c r="U28" s="31"/>
    </row>
    <row r="29" spans="2:21" x14ac:dyDescent="0.25">
      <c r="C29" s="4"/>
      <c r="E29" s="70"/>
      <c r="I29" s="14"/>
      <c r="J29" s="31"/>
      <c r="O29" s="31"/>
      <c r="P29" s="31"/>
      <c r="Q29" s="31"/>
      <c r="R29" s="31"/>
      <c r="S29" s="31"/>
      <c r="T29" s="31"/>
      <c r="U29" s="31"/>
    </row>
    <row r="30" spans="2:21" x14ac:dyDescent="0.25">
      <c r="C30" s="61"/>
      <c r="E30" s="70"/>
      <c r="I30" s="14"/>
      <c r="J30" s="46"/>
      <c r="O30" s="31"/>
      <c r="P30" s="31"/>
      <c r="Q30" s="31"/>
      <c r="R30" s="31"/>
      <c r="S30" s="31"/>
      <c r="T30" s="31"/>
      <c r="U30" s="31"/>
    </row>
    <row r="31" spans="2:21" x14ac:dyDescent="0.25">
      <c r="C31" s="61"/>
      <c r="E31" s="70"/>
      <c r="I31" s="14"/>
      <c r="J31" s="46"/>
      <c r="O31" s="31"/>
      <c r="P31" s="31"/>
      <c r="Q31" s="31"/>
      <c r="R31" s="31"/>
      <c r="S31" s="31"/>
      <c r="T31" s="31"/>
      <c r="U31" s="31"/>
    </row>
    <row r="32" spans="2:21" x14ac:dyDescent="0.25">
      <c r="C32" s="61"/>
      <c r="E32" s="70"/>
      <c r="I32" s="14"/>
      <c r="J32" s="46"/>
      <c r="O32" s="31"/>
      <c r="P32" s="31"/>
      <c r="Q32" s="31"/>
      <c r="R32" s="31"/>
      <c r="S32" s="31"/>
      <c r="T32" s="31"/>
      <c r="U32" s="31"/>
    </row>
    <row r="33" spans="3:21" x14ac:dyDescent="0.25">
      <c r="C33" s="61"/>
      <c r="E33" s="70"/>
      <c r="I33" s="14"/>
      <c r="J33" s="46"/>
      <c r="O33" s="31"/>
      <c r="P33" s="31"/>
      <c r="Q33" s="31"/>
      <c r="R33" s="31"/>
      <c r="S33" s="31"/>
      <c r="T33" s="31"/>
      <c r="U33" s="31"/>
    </row>
    <row r="34" spans="3:21" x14ac:dyDescent="0.25">
      <c r="C34" s="61"/>
      <c r="E34" s="70"/>
      <c r="I34" s="14"/>
      <c r="J34" s="46"/>
      <c r="O34" s="31"/>
      <c r="P34" s="31"/>
      <c r="Q34" s="31"/>
      <c r="R34" s="31"/>
      <c r="S34" s="31"/>
      <c r="T34" s="31"/>
      <c r="U34" s="31"/>
    </row>
    <row r="35" spans="3:21" x14ac:dyDescent="0.25">
      <c r="C35" s="61"/>
      <c r="E35" s="70"/>
      <c r="I35" s="14"/>
      <c r="J35" s="46"/>
      <c r="O35" s="31"/>
      <c r="P35" s="31"/>
      <c r="Q35" s="31"/>
      <c r="R35" s="31"/>
      <c r="S35" s="31"/>
      <c r="T35" s="31"/>
      <c r="U35" s="31"/>
    </row>
    <row r="36" spans="3:21" x14ac:dyDescent="0.25">
      <c r="C36" s="61"/>
      <c r="E36" s="70"/>
      <c r="I36" s="14"/>
      <c r="J36" s="46"/>
      <c r="O36" s="31"/>
      <c r="P36" s="31"/>
      <c r="Q36" s="31"/>
      <c r="R36" s="31"/>
      <c r="S36" s="31"/>
      <c r="T36" s="31"/>
      <c r="U36" s="31"/>
    </row>
    <row r="37" spans="3:21" x14ac:dyDescent="0.25">
      <c r="C37" s="61"/>
      <c r="E37" s="70"/>
      <c r="I37" s="14"/>
      <c r="J37" s="46"/>
      <c r="O37" s="31"/>
      <c r="P37" s="31"/>
      <c r="Q37" s="31"/>
      <c r="R37" s="31"/>
      <c r="S37" s="31"/>
      <c r="T37" s="31"/>
      <c r="U37" s="31"/>
    </row>
    <row r="38" spans="3:21" x14ac:dyDescent="0.25">
      <c r="C38" s="61"/>
      <c r="E38" s="70"/>
      <c r="I38" s="14"/>
      <c r="J38" s="46"/>
      <c r="O38" s="31"/>
      <c r="P38" s="31"/>
      <c r="Q38" s="31"/>
      <c r="R38" s="31"/>
      <c r="S38" s="31"/>
      <c r="T38" s="31"/>
      <c r="U38" s="31"/>
    </row>
    <row r="39" spans="3:21" x14ac:dyDescent="0.25">
      <c r="C39" s="61"/>
      <c r="E39" s="70"/>
      <c r="I39" s="14"/>
      <c r="J39" s="46"/>
      <c r="O39" s="31"/>
      <c r="P39" s="31"/>
      <c r="Q39" s="31"/>
      <c r="R39" s="31"/>
      <c r="S39" s="31"/>
      <c r="T39" s="31"/>
      <c r="U39" s="31"/>
    </row>
    <row r="40" spans="3:21" x14ac:dyDescent="0.25">
      <c r="C40" s="80"/>
      <c r="E40" s="70"/>
      <c r="I40" s="14"/>
      <c r="J40" s="46"/>
      <c r="O40" s="31"/>
      <c r="P40" s="31"/>
      <c r="Q40" s="31"/>
      <c r="R40" s="31"/>
      <c r="S40" s="31"/>
      <c r="T40" s="31"/>
      <c r="U40" s="31"/>
    </row>
    <row r="41" spans="3:21" x14ac:dyDescent="0.25">
      <c r="C41" s="80"/>
      <c r="E41" s="70"/>
      <c r="I41" s="14"/>
      <c r="J41" s="46"/>
      <c r="O41" s="31"/>
      <c r="P41" s="31"/>
      <c r="Q41" s="31"/>
      <c r="R41" s="31"/>
      <c r="S41" s="31"/>
      <c r="T41" s="31"/>
      <c r="U41" s="31"/>
    </row>
    <row r="42" spans="3:21" x14ac:dyDescent="0.25">
      <c r="C42" s="80"/>
      <c r="E42" s="70"/>
      <c r="I42" s="14"/>
      <c r="J42" s="46"/>
      <c r="O42" s="31"/>
      <c r="P42" s="31"/>
      <c r="Q42" s="31"/>
      <c r="R42" s="31"/>
      <c r="S42" s="31"/>
      <c r="T42" s="31"/>
      <c r="U42" s="31"/>
    </row>
    <row r="43" spans="3:21" x14ac:dyDescent="0.25">
      <c r="C43" s="80"/>
      <c r="E43" s="70"/>
      <c r="I43" s="14"/>
      <c r="J43" s="46"/>
      <c r="O43" s="31"/>
      <c r="P43" s="31"/>
      <c r="Q43" s="31"/>
      <c r="R43" s="31"/>
      <c r="S43" s="31"/>
      <c r="T43" s="31"/>
      <c r="U43" s="31"/>
    </row>
    <row r="44" spans="3:21" x14ac:dyDescent="0.25">
      <c r="I44" s="14"/>
      <c r="J44" s="46"/>
      <c r="O44" s="31"/>
      <c r="P44" s="31"/>
      <c r="Q44" s="31"/>
      <c r="R44" s="31"/>
      <c r="S44" s="31"/>
      <c r="T44" s="31"/>
      <c r="U44" s="31"/>
    </row>
    <row r="45" spans="3:21" x14ac:dyDescent="0.25">
      <c r="I45" s="14"/>
      <c r="J45" s="46"/>
      <c r="O45" s="31"/>
      <c r="P45" s="31"/>
      <c r="Q45" s="31"/>
      <c r="R45" s="31"/>
      <c r="S45" s="31"/>
      <c r="T45" s="31"/>
      <c r="U45" s="31"/>
    </row>
    <row r="46" spans="3:21" x14ac:dyDescent="0.25">
      <c r="I46" s="14"/>
      <c r="J46" s="46"/>
      <c r="O46" s="31"/>
      <c r="P46" s="31"/>
      <c r="Q46" s="31"/>
      <c r="R46" s="31"/>
      <c r="S46" s="31"/>
      <c r="T46" s="31"/>
      <c r="U46" s="31"/>
    </row>
    <row r="47" spans="3:21" x14ac:dyDescent="0.25">
      <c r="I47" s="14"/>
      <c r="J47" s="46"/>
      <c r="O47" s="31"/>
      <c r="P47" s="31"/>
      <c r="Q47" s="31"/>
      <c r="R47" s="31"/>
      <c r="S47" s="31"/>
      <c r="T47" s="31"/>
      <c r="U47" s="31"/>
    </row>
    <row r="48" spans="3:21" x14ac:dyDescent="0.25">
      <c r="I48" s="14"/>
      <c r="J48" s="46"/>
      <c r="O48" s="31"/>
      <c r="P48" s="31"/>
      <c r="Q48" s="31"/>
      <c r="R48" s="31"/>
      <c r="S48" s="31"/>
      <c r="T48" s="31"/>
      <c r="U48" s="31"/>
    </row>
    <row r="49" spans="9:21" x14ac:dyDescent="0.25">
      <c r="I49" s="14"/>
      <c r="J49" s="46"/>
      <c r="O49" s="31"/>
      <c r="P49" s="31"/>
      <c r="Q49" s="31"/>
      <c r="R49" s="31"/>
      <c r="S49" s="31"/>
      <c r="T49" s="31"/>
      <c r="U49" s="31"/>
    </row>
    <row r="50" spans="9:21" x14ac:dyDescent="0.25">
      <c r="I50" s="14"/>
      <c r="J50" s="46"/>
      <c r="O50" s="31"/>
      <c r="P50" s="31"/>
      <c r="Q50" s="31"/>
      <c r="R50" s="31"/>
      <c r="S50" s="31"/>
      <c r="T50" s="31"/>
      <c r="U50" s="31"/>
    </row>
    <row r="51" spans="9:21" x14ac:dyDescent="0.25">
      <c r="I51" s="14"/>
      <c r="J51" s="46"/>
      <c r="O51" s="31"/>
      <c r="P51" s="31"/>
      <c r="Q51" s="31"/>
      <c r="R51" s="31"/>
      <c r="S51" s="31"/>
      <c r="T51" s="31"/>
      <c r="U51" s="31"/>
    </row>
    <row r="52" spans="9:21" x14ac:dyDescent="0.25">
      <c r="I52" s="14"/>
      <c r="J52" s="46"/>
      <c r="O52" s="31"/>
      <c r="P52" s="31"/>
      <c r="Q52" s="31"/>
      <c r="R52" s="31"/>
      <c r="S52" s="31"/>
      <c r="T52" s="31"/>
      <c r="U52" s="31"/>
    </row>
    <row r="53" spans="9:21" x14ac:dyDescent="0.25">
      <c r="I53" s="14"/>
      <c r="J53" s="46"/>
      <c r="O53" s="31"/>
      <c r="P53" s="31"/>
      <c r="Q53" s="31"/>
      <c r="R53" s="31"/>
      <c r="S53" s="31"/>
      <c r="T53" s="31"/>
      <c r="U53" s="31"/>
    </row>
    <row r="54" spans="9:21" x14ac:dyDescent="0.25">
      <c r="I54" s="14"/>
      <c r="J54" s="46"/>
      <c r="O54" s="31"/>
      <c r="P54" s="31"/>
      <c r="Q54" s="31"/>
      <c r="R54" s="31"/>
      <c r="S54" s="31"/>
      <c r="T54" s="31"/>
      <c r="U54" s="31"/>
    </row>
    <row r="55" spans="9:21" x14ac:dyDescent="0.25">
      <c r="I55" s="14"/>
      <c r="J55" s="46"/>
      <c r="O55" s="31"/>
      <c r="P55" s="31"/>
      <c r="Q55" s="31"/>
      <c r="R55" s="31"/>
      <c r="S55" s="31"/>
      <c r="T55" s="31"/>
      <c r="U55" s="31"/>
    </row>
    <row r="56" spans="9:21" x14ac:dyDescent="0.25">
      <c r="I56" s="14"/>
      <c r="J56" s="46"/>
      <c r="O56" s="31"/>
      <c r="P56" s="31"/>
      <c r="Q56" s="31"/>
      <c r="R56" s="31"/>
      <c r="S56" s="31"/>
      <c r="T56" s="31"/>
      <c r="U56" s="31"/>
    </row>
    <row r="57" spans="9:21" x14ac:dyDescent="0.25">
      <c r="I57" s="14"/>
      <c r="J57" s="46"/>
      <c r="O57" s="31"/>
      <c r="P57" s="31"/>
      <c r="Q57" s="31"/>
      <c r="R57" s="31"/>
      <c r="S57" s="31"/>
      <c r="T57" s="31"/>
      <c r="U57" s="31"/>
    </row>
    <row r="58" spans="9:21" x14ac:dyDescent="0.25">
      <c r="I58" s="14"/>
      <c r="J58" s="46"/>
      <c r="O58" s="31"/>
      <c r="P58" s="31"/>
      <c r="Q58" s="31"/>
      <c r="R58" s="31"/>
      <c r="S58" s="31"/>
      <c r="T58" s="31"/>
      <c r="U58" s="31"/>
    </row>
    <row r="59" spans="9:21" x14ac:dyDescent="0.25">
      <c r="I59" s="14"/>
      <c r="J59" s="46"/>
      <c r="O59" s="31"/>
      <c r="P59" s="31"/>
      <c r="Q59" s="31"/>
      <c r="R59" s="31"/>
      <c r="S59" s="31"/>
      <c r="T59" s="31"/>
      <c r="U59" s="31"/>
    </row>
    <row r="60" spans="9:21" x14ac:dyDescent="0.25">
      <c r="I60" s="14"/>
      <c r="J60" s="46"/>
      <c r="O60" s="31"/>
      <c r="P60" s="31"/>
      <c r="Q60" s="31"/>
      <c r="R60" s="31"/>
      <c r="S60" s="31"/>
      <c r="T60" s="31"/>
      <c r="U60" s="31"/>
    </row>
    <row r="61" spans="9:21" x14ac:dyDescent="0.25">
      <c r="I61" s="14"/>
      <c r="J61" s="46"/>
      <c r="O61" s="31"/>
      <c r="P61" s="31"/>
      <c r="Q61" s="31"/>
      <c r="R61" s="31"/>
      <c r="S61" s="31"/>
      <c r="T61" s="31"/>
      <c r="U61" s="31"/>
    </row>
    <row r="62" spans="9:21" x14ac:dyDescent="0.25">
      <c r="I62" s="14"/>
      <c r="J62" s="46"/>
      <c r="O62" s="31"/>
      <c r="P62" s="31"/>
      <c r="Q62" s="31"/>
      <c r="R62" s="31"/>
      <c r="S62" s="31"/>
      <c r="T62" s="31"/>
      <c r="U62" s="31"/>
    </row>
    <row r="63" spans="9:21" x14ac:dyDescent="0.25">
      <c r="I63" s="14"/>
      <c r="J63" s="46"/>
      <c r="O63" s="31"/>
      <c r="P63" s="31"/>
      <c r="Q63" s="31"/>
      <c r="R63" s="31"/>
      <c r="S63" s="31"/>
      <c r="T63" s="31"/>
      <c r="U63" s="31"/>
    </row>
    <row r="64" spans="9:21" x14ac:dyDescent="0.25">
      <c r="I64" s="14"/>
      <c r="J64" s="46"/>
      <c r="O64" s="31"/>
      <c r="P64" s="31"/>
      <c r="Q64" s="31"/>
      <c r="R64" s="31"/>
      <c r="S64" s="31"/>
      <c r="T64" s="31"/>
      <c r="U64" s="31"/>
    </row>
    <row r="65" spans="9:21" x14ac:dyDescent="0.25">
      <c r="I65" s="14"/>
      <c r="J65" s="46"/>
      <c r="O65" s="31"/>
      <c r="P65" s="31"/>
      <c r="Q65" s="31"/>
      <c r="R65" s="31"/>
      <c r="S65" s="31"/>
      <c r="T65" s="31"/>
      <c r="U65" s="31"/>
    </row>
    <row r="66" spans="9:21" x14ac:dyDescent="0.25">
      <c r="I66" s="14"/>
      <c r="J66" s="46"/>
      <c r="O66" s="31"/>
      <c r="P66" s="31"/>
      <c r="Q66" s="31"/>
      <c r="R66" s="31"/>
      <c r="S66" s="31"/>
      <c r="T66" s="31"/>
      <c r="U66" s="31"/>
    </row>
    <row r="67" spans="9:21" x14ac:dyDescent="0.25">
      <c r="I67" s="14"/>
      <c r="J67" s="46"/>
      <c r="O67" s="31"/>
      <c r="P67" s="31"/>
      <c r="Q67" s="31"/>
      <c r="R67" s="31"/>
      <c r="S67" s="31"/>
      <c r="T67" s="31"/>
      <c r="U67" s="31"/>
    </row>
    <row r="68" spans="9:21" x14ac:dyDescent="0.25">
      <c r="I68" s="14"/>
      <c r="J68" s="46"/>
      <c r="O68" s="31"/>
      <c r="P68" s="31"/>
      <c r="Q68" s="31"/>
      <c r="R68" s="31"/>
      <c r="S68" s="31"/>
      <c r="T68" s="31"/>
      <c r="U68" s="31"/>
    </row>
    <row r="69" spans="9:21" x14ac:dyDescent="0.25">
      <c r="I69" s="14"/>
      <c r="J69" s="46"/>
      <c r="O69" s="31"/>
      <c r="P69" s="31"/>
      <c r="Q69" s="31"/>
      <c r="R69" s="31"/>
      <c r="S69" s="31"/>
      <c r="T69" s="31"/>
      <c r="U69" s="31"/>
    </row>
    <row r="70" spans="9:21" x14ac:dyDescent="0.25">
      <c r="I70" s="14"/>
      <c r="J70" s="46"/>
      <c r="O70" s="31"/>
      <c r="P70" s="31"/>
      <c r="Q70" s="31"/>
      <c r="R70" s="31"/>
      <c r="S70" s="31"/>
      <c r="T70" s="31"/>
      <c r="U70" s="31"/>
    </row>
    <row r="71" spans="9:21" x14ac:dyDescent="0.25">
      <c r="I71" s="14"/>
      <c r="J71" s="46"/>
      <c r="O71" s="31"/>
      <c r="P71" s="31"/>
      <c r="Q71" s="31"/>
      <c r="R71" s="31"/>
      <c r="S71" s="31"/>
      <c r="T71" s="31"/>
      <c r="U71" s="31"/>
    </row>
    <row r="72" spans="9:21" x14ac:dyDescent="0.25">
      <c r="I72" s="14"/>
      <c r="J72" s="46"/>
      <c r="O72" s="31"/>
      <c r="P72" s="31"/>
      <c r="Q72" s="31"/>
      <c r="R72" s="31"/>
      <c r="S72" s="31"/>
      <c r="T72" s="31"/>
      <c r="U72" s="31"/>
    </row>
    <row r="73" spans="9:21" x14ac:dyDescent="0.25">
      <c r="I73" s="14"/>
      <c r="J73" s="46"/>
      <c r="O73" s="31"/>
      <c r="P73" s="31"/>
      <c r="Q73" s="31"/>
      <c r="R73" s="31"/>
      <c r="S73" s="31"/>
      <c r="T73" s="31"/>
      <c r="U73" s="31"/>
    </row>
    <row r="74" spans="9:21" x14ac:dyDescent="0.25">
      <c r="I74" s="14"/>
      <c r="J74" s="46"/>
      <c r="O74" s="31"/>
      <c r="P74" s="31"/>
      <c r="Q74" s="31"/>
      <c r="R74" s="31"/>
      <c r="S74" s="31"/>
      <c r="T74" s="31"/>
      <c r="U74" s="31"/>
    </row>
    <row r="75" spans="9:21" x14ac:dyDescent="0.25">
      <c r="I75" s="14"/>
      <c r="J75" s="46"/>
      <c r="O75" s="31"/>
      <c r="P75" s="31"/>
      <c r="Q75" s="31"/>
      <c r="R75" s="31"/>
      <c r="S75" s="31"/>
      <c r="T75" s="31"/>
      <c r="U75" s="31"/>
    </row>
    <row r="76" spans="9:21" x14ac:dyDescent="0.25">
      <c r="I76" s="14"/>
      <c r="J76" s="46"/>
      <c r="O76" s="31"/>
      <c r="P76" s="31"/>
      <c r="Q76" s="31"/>
      <c r="R76" s="31"/>
      <c r="S76" s="31"/>
      <c r="T76" s="31"/>
      <c r="U76" s="31"/>
    </row>
    <row r="77" spans="9:21" x14ac:dyDescent="0.25">
      <c r="I77" s="14"/>
      <c r="J77" s="46"/>
      <c r="O77" s="31"/>
      <c r="P77" s="31"/>
      <c r="Q77" s="31"/>
      <c r="R77" s="31"/>
      <c r="S77" s="31"/>
      <c r="T77" s="31"/>
      <c r="U77" s="31"/>
    </row>
    <row r="78" spans="9:21" x14ac:dyDescent="0.25">
      <c r="I78" s="14"/>
      <c r="J78" s="46"/>
      <c r="O78" s="31"/>
      <c r="P78" s="31"/>
      <c r="Q78" s="31"/>
      <c r="R78" s="31"/>
      <c r="S78" s="31"/>
      <c r="T78" s="31"/>
      <c r="U78" s="31"/>
    </row>
    <row r="79" spans="9:21" x14ac:dyDescent="0.25">
      <c r="I79" s="14"/>
      <c r="J79" s="46"/>
      <c r="O79" s="31"/>
      <c r="P79" s="31"/>
      <c r="Q79" s="31"/>
      <c r="R79" s="31"/>
      <c r="S79" s="31"/>
      <c r="T79" s="31"/>
      <c r="U79" s="31"/>
    </row>
    <row r="80" spans="9:21" x14ac:dyDescent="0.25">
      <c r="I80" s="14"/>
      <c r="J80" s="46"/>
      <c r="O80" s="31"/>
      <c r="P80" s="31"/>
      <c r="Q80" s="31"/>
      <c r="R80" s="31"/>
      <c r="S80" s="31"/>
      <c r="T80" s="31"/>
      <c r="U80" s="31"/>
    </row>
    <row r="81" spans="9:21" x14ac:dyDescent="0.25">
      <c r="I81" s="14"/>
      <c r="J81" s="46"/>
      <c r="O81" s="31"/>
      <c r="P81" s="31"/>
      <c r="Q81" s="31"/>
      <c r="R81" s="31"/>
      <c r="S81" s="31"/>
      <c r="T81" s="31"/>
      <c r="U81" s="31"/>
    </row>
    <row r="82" spans="9:21" x14ac:dyDescent="0.25">
      <c r="I82" s="14"/>
      <c r="J82" s="46"/>
      <c r="O82" s="31"/>
      <c r="P82" s="31"/>
      <c r="Q82" s="31"/>
      <c r="R82" s="31"/>
      <c r="S82" s="31"/>
      <c r="T82" s="31"/>
      <c r="U82" s="31"/>
    </row>
    <row r="83" spans="9:21" x14ac:dyDescent="0.25">
      <c r="I83" s="14"/>
      <c r="J83" s="46"/>
      <c r="O83" s="31"/>
      <c r="P83" s="31"/>
      <c r="Q83" s="31"/>
      <c r="R83" s="31"/>
      <c r="S83" s="31"/>
      <c r="T83" s="31"/>
      <c r="U83" s="31"/>
    </row>
    <row r="84" spans="9:21" x14ac:dyDescent="0.25">
      <c r="I84" s="14"/>
      <c r="J84" s="46"/>
      <c r="O84" s="31"/>
      <c r="P84" s="31"/>
      <c r="Q84" s="46"/>
      <c r="R84" s="46"/>
      <c r="S84" s="46"/>
      <c r="T84" s="46"/>
      <c r="U84" s="46"/>
    </row>
    <row r="85" spans="9:21" x14ac:dyDescent="0.25">
      <c r="I85" s="14"/>
      <c r="J85" s="46"/>
      <c r="O85" s="31"/>
      <c r="P85" s="31"/>
      <c r="Q85" s="46"/>
      <c r="R85" s="46"/>
      <c r="S85" s="46"/>
      <c r="T85" s="46"/>
      <c r="U85" s="46"/>
    </row>
    <row r="86" spans="9:21" x14ac:dyDescent="0.25">
      <c r="I86" s="14"/>
      <c r="J86" s="46"/>
      <c r="O86" s="31"/>
      <c r="P86" s="31"/>
      <c r="Q86" s="46"/>
      <c r="R86" s="46"/>
      <c r="S86" s="46"/>
      <c r="T86" s="46"/>
      <c r="U86" s="46"/>
    </row>
    <row r="87" spans="9:21" x14ac:dyDescent="0.25">
      <c r="I87" s="14"/>
      <c r="J87" s="46"/>
      <c r="O87" s="31"/>
      <c r="P87" s="31"/>
      <c r="Q87" s="46"/>
      <c r="R87" s="46"/>
      <c r="S87" s="46"/>
      <c r="T87" s="46"/>
      <c r="U87" s="46"/>
    </row>
    <row r="88" spans="9:21" x14ac:dyDescent="0.25">
      <c r="I88" s="14"/>
      <c r="J88" s="46"/>
      <c r="O88" s="31"/>
      <c r="P88" s="31"/>
      <c r="Q88" s="46"/>
      <c r="R88" s="46"/>
      <c r="S88" s="46"/>
      <c r="T88" s="46"/>
      <c r="U88" s="46"/>
    </row>
    <row r="89" spans="9:21" x14ac:dyDescent="0.25">
      <c r="I89" s="14"/>
      <c r="J89" s="46"/>
      <c r="O89" s="31"/>
      <c r="P89" s="31"/>
      <c r="Q89" s="46"/>
      <c r="R89" s="46"/>
      <c r="S89" s="46"/>
      <c r="T89" s="46"/>
      <c r="U89" s="46"/>
    </row>
    <row r="90" spans="9:21" x14ac:dyDescent="0.25">
      <c r="I90" s="14"/>
      <c r="J90" s="46"/>
      <c r="O90" s="31"/>
      <c r="P90" s="31"/>
      <c r="Q90" s="46"/>
      <c r="R90" s="46"/>
      <c r="S90" s="46"/>
      <c r="T90" s="46"/>
      <c r="U90" s="46"/>
    </row>
    <row r="91" spans="9:21" x14ac:dyDescent="0.25">
      <c r="I91" s="14"/>
      <c r="J91" s="46"/>
      <c r="O91" s="31"/>
      <c r="P91" s="31"/>
    </row>
    <row r="92" spans="9:21" x14ac:dyDescent="0.25">
      <c r="I92" s="14"/>
      <c r="J92" s="46"/>
      <c r="O92" s="31"/>
      <c r="P92" s="31"/>
    </row>
    <row r="93" spans="9:21" x14ac:dyDescent="0.25">
      <c r="I93" s="14"/>
      <c r="J93" s="46"/>
      <c r="O93" s="31"/>
      <c r="P93" s="31"/>
    </row>
    <row r="94" spans="9:21" x14ac:dyDescent="0.25">
      <c r="I94" s="14"/>
      <c r="J94" s="46"/>
      <c r="O94" s="31"/>
      <c r="P94" s="31"/>
    </row>
    <row r="95" spans="9:21" x14ac:dyDescent="0.25">
      <c r="I95" s="14"/>
      <c r="J95" s="46"/>
      <c r="O95" s="31"/>
      <c r="P95" s="31"/>
    </row>
    <row r="96" spans="9:21" x14ac:dyDescent="0.25">
      <c r="I96" s="14"/>
      <c r="J96" s="46"/>
      <c r="O96" s="31"/>
      <c r="P96" s="31"/>
    </row>
    <row r="97" spans="9:16" x14ac:dyDescent="0.25">
      <c r="I97" s="14"/>
      <c r="J97" s="46"/>
      <c r="O97" s="31"/>
      <c r="P97" s="31"/>
    </row>
    <row r="98" spans="9:16" x14ac:dyDescent="0.25">
      <c r="I98" s="14"/>
      <c r="J98" s="46"/>
      <c r="O98" s="31"/>
      <c r="P98" s="31"/>
    </row>
    <row r="99" spans="9:16" x14ac:dyDescent="0.25">
      <c r="I99" s="14"/>
      <c r="J99" s="46"/>
      <c r="O99" s="31"/>
      <c r="P99" s="31"/>
    </row>
    <row r="100" spans="9:16" x14ac:dyDescent="0.25">
      <c r="I100" s="14"/>
      <c r="J100" s="46"/>
      <c r="O100" s="31"/>
      <c r="P100" s="31"/>
    </row>
    <row r="101" spans="9:16" x14ac:dyDescent="0.25">
      <c r="I101" s="14"/>
      <c r="J101" s="46"/>
      <c r="O101" s="31"/>
      <c r="P101" s="31"/>
    </row>
    <row r="102" spans="9:16" x14ac:dyDescent="0.25">
      <c r="I102" s="14"/>
      <c r="J102" s="46"/>
      <c r="O102" s="31"/>
      <c r="P102" s="31"/>
    </row>
    <row r="103" spans="9:16" x14ac:dyDescent="0.25">
      <c r="I103" s="14"/>
      <c r="J103" s="46"/>
      <c r="O103" s="31"/>
      <c r="P103" s="31"/>
    </row>
    <row r="104" spans="9:16" x14ac:dyDescent="0.25">
      <c r="I104" s="14"/>
      <c r="J104" s="46"/>
      <c r="O104" s="46"/>
      <c r="P104" s="46"/>
    </row>
    <row r="105" spans="9:16" x14ac:dyDescent="0.25">
      <c r="I105" s="14"/>
      <c r="J105" s="46"/>
      <c r="O105" s="46"/>
      <c r="P105" s="46"/>
    </row>
    <row r="106" spans="9:16" x14ac:dyDescent="0.25">
      <c r="I106" s="14"/>
      <c r="J106" s="46"/>
      <c r="O106" s="46"/>
      <c r="P106" s="46"/>
    </row>
    <row r="107" spans="9:16" x14ac:dyDescent="0.25">
      <c r="I107" s="14"/>
      <c r="J107" s="46"/>
      <c r="O107" s="46"/>
      <c r="P107" s="46"/>
    </row>
    <row r="108" spans="9:16" x14ac:dyDescent="0.25">
      <c r="I108" s="14"/>
      <c r="J108" s="46"/>
      <c r="O108" s="46"/>
      <c r="P108" s="46"/>
    </row>
    <row r="109" spans="9:16" x14ac:dyDescent="0.25">
      <c r="I109" s="14"/>
      <c r="J109" s="46"/>
      <c r="O109" s="46"/>
      <c r="P109" s="46"/>
    </row>
    <row r="110" spans="9:16" x14ac:dyDescent="0.25">
      <c r="I110" s="14"/>
      <c r="J110" s="46"/>
      <c r="O110" s="46"/>
      <c r="P110" s="46"/>
    </row>
    <row r="111" spans="9:16" x14ac:dyDescent="0.25">
      <c r="I111" s="14"/>
      <c r="J111" s="46"/>
      <c r="O111" s="46"/>
      <c r="P111" s="46"/>
    </row>
    <row r="112" spans="9:16" x14ac:dyDescent="0.25">
      <c r="I112" s="14"/>
      <c r="J112" s="46"/>
      <c r="O112" s="46"/>
      <c r="P112" s="46"/>
    </row>
    <row r="113" spans="9:16" x14ac:dyDescent="0.25">
      <c r="I113" s="14"/>
      <c r="J113" s="46"/>
      <c r="O113" s="46"/>
      <c r="P113" s="46"/>
    </row>
    <row r="114" spans="9:16" x14ac:dyDescent="0.25">
      <c r="I114" s="14"/>
      <c r="J114" s="46"/>
      <c r="O114" s="46"/>
      <c r="P114" s="46"/>
    </row>
    <row r="115" spans="9:16" x14ac:dyDescent="0.25">
      <c r="I115" s="14"/>
      <c r="J115" s="46"/>
      <c r="O115" s="46"/>
      <c r="P115" s="46"/>
    </row>
    <row r="116" spans="9:16" x14ac:dyDescent="0.25">
      <c r="I116" s="14"/>
      <c r="J116" s="46"/>
      <c r="O116" s="46"/>
      <c r="P116" s="46"/>
    </row>
    <row r="117" spans="9:16" x14ac:dyDescent="0.25">
      <c r="I117" s="14"/>
      <c r="J117" s="46"/>
      <c r="O117" s="46"/>
      <c r="P117" s="46"/>
    </row>
    <row r="118" spans="9:16" x14ac:dyDescent="0.25">
      <c r="I118" s="14"/>
      <c r="J118" s="46"/>
      <c r="O118" s="46"/>
      <c r="P118" s="46"/>
    </row>
    <row r="119" spans="9:16" x14ac:dyDescent="0.25">
      <c r="I119" s="14"/>
      <c r="J119" s="46"/>
      <c r="O119" s="46"/>
      <c r="P119" s="46"/>
    </row>
    <row r="120" spans="9:16" x14ac:dyDescent="0.25">
      <c r="I120" s="14"/>
      <c r="J120" s="46"/>
      <c r="O120" s="46"/>
      <c r="P120" s="46"/>
    </row>
    <row r="121" spans="9:16" x14ac:dyDescent="0.25">
      <c r="I121" s="14"/>
      <c r="J121" s="46"/>
      <c r="O121" s="46"/>
      <c r="P121" s="46"/>
    </row>
    <row r="122" spans="9:16" x14ac:dyDescent="0.25">
      <c r="I122" s="14"/>
      <c r="J122" s="46"/>
      <c r="O122" s="46"/>
      <c r="P122" s="46"/>
    </row>
    <row r="123" spans="9:16" x14ac:dyDescent="0.25">
      <c r="I123" s="14"/>
      <c r="J123" s="46"/>
      <c r="O123" s="46"/>
      <c r="P123" s="46"/>
    </row>
    <row r="124" spans="9:16" x14ac:dyDescent="0.25">
      <c r="I124" s="14"/>
      <c r="J124" s="46"/>
      <c r="O124" s="46"/>
      <c r="P124" s="46"/>
    </row>
    <row r="125" spans="9:16" x14ac:dyDescent="0.25">
      <c r="I125" s="14"/>
      <c r="J125" s="46"/>
      <c r="O125" s="46"/>
      <c r="P125" s="46"/>
    </row>
  </sheetData>
  <conditionalFormatting sqref="F7">
    <cfRule type="expression" dxfId="3" priority="2">
      <formula>AND($F$7="Domingo")</formula>
    </cfRule>
    <cfRule type="expression" dxfId="2" priority="3">
      <formula>AND($F$7="Sábado")</formula>
    </cfRule>
  </conditionalFormatting>
  <conditionalFormatting sqref="D6:D7">
    <cfRule type="expression" dxfId="1" priority="1">
      <formula>AND(D6=$A$3)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bFecha">
          <controlPr defaultSize="0" autoLine="0" r:id="rId5">
            <anchor moveWithCells="1">
              <from>
                <xdr:col>5</xdr:col>
                <xdr:colOff>295275</xdr:colOff>
                <xdr:row>4</xdr:row>
                <xdr:rowOff>19050</xdr:rowOff>
              </from>
              <to>
                <xdr:col>5</xdr:col>
                <xdr:colOff>1743075</xdr:colOff>
                <xdr:row>6</xdr:row>
                <xdr:rowOff>38100</xdr:rowOff>
              </to>
            </anchor>
          </controlPr>
        </control>
      </mc:Choice>
      <mc:Fallback>
        <control shapeId="1026" r:id="rId4" name="tbFecha"/>
      </mc:Fallback>
    </mc:AlternateContent>
    <mc:AlternateContent xmlns:mc="http://schemas.openxmlformats.org/markup-compatibility/2006">
      <mc:Choice Requires="x14">
        <control shapeId="1047" r:id="rId6" name="Button 23">
          <controlPr defaultSize="0" print="0" autoFill="0" autoPict="0" macro="[0]!Hoja1.btBuscarCuenta_Click">
            <anchor moveWithCells="1">
              <from>
                <xdr:col>2</xdr:col>
                <xdr:colOff>1333500</xdr:colOff>
                <xdr:row>1</xdr:row>
                <xdr:rowOff>19050</xdr:rowOff>
              </from>
              <to>
                <xdr:col>4</xdr:col>
                <xdr:colOff>142875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7" name="Button 24">
          <controlPr defaultSize="0" print="0" autoFill="0" autoPict="0" macro="[0]!Hoja1.btGuardar_Click">
            <anchor moveWithCells="1">
              <from>
                <xdr:col>3</xdr:col>
                <xdr:colOff>676275</xdr:colOff>
                <xdr:row>8</xdr:row>
                <xdr:rowOff>85725</xdr:rowOff>
              </from>
              <to>
                <xdr:col>4</xdr:col>
                <xdr:colOff>1257300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8" name="Button 25">
          <controlPr defaultSize="0" print="0" autoFill="0" autoPict="0" macro="[0]!Hoja1.btMenosDia_Click">
            <anchor moveWithCells="1">
              <from>
                <xdr:col>4</xdr:col>
                <xdr:colOff>1562100</xdr:colOff>
                <xdr:row>3</xdr:row>
                <xdr:rowOff>0</xdr:rowOff>
              </from>
              <to>
                <xdr:col>4</xdr:col>
                <xdr:colOff>2028825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9" name="Button 26">
          <controlPr defaultSize="0" print="0" autoFill="0" autoPict="0" macro="[0]!Hoja1.btMasDia_Click">
            <anchor moveWithCells="1">
              <from>
                <xdr:col>5</xdr:col>
                <xdr:colOff>1847850</xdr:colOff>
                <xdr:row>3</xdr:row>
                <xdr:rowOff>0</xdr:rowOff>
              </from>
              <to>
                <xdr:col>6</xdr:col>
                <xdr:colOff>371475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0" name="Button 27">
          <controlPr defaultSize="0" print="0" autoFill="0" autoPict="0" macro="[0]!Hoja1.btCalendario_Click">
            <anchor moveWithCells="1">
              <from>
                <xdr:col>5</xdr:col>
                <xdr:colOff>295275</xdr:colOff>
                <xdr:row>1</xdr:row>
                <xdr:rowOff>19050</xdr:rowOff>
              </from>
              <to>
                <xdr:col>5</xdr:col>
                <xdr:colOff>1666875</xdr:colOff>
                <xdr:row>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1" name="Button 28">
          <controlPr defaultSize="0" print="0" autoFill="0" autoPict="0" macro="[0]!Hoja1.btActualizar_Click">
            <anchor moveWithCells="1">
              <from>
                <xdr:col>6</xdr:col>
                <xdr:colOff>609600</xdr:colOff>
                <xdr:row>1</xdr:row>
                <xdr:rowOff>104775</xdr:rowOff>
              </from>
              <to>
                <xdr:col>7</xdr:col>
                <xdr:colOff>257175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2" name="Button 29">
          <controlPr defaultSize="0" print="0" autoFill="0" autoPict="0" macro="[0]!Hoja1.btMantenimiento_Click">
            <anchor moveWithCells="1">
              <from>
                <xdr:col>6</xdr:col>
                <xdr:colOff>609600</xdr:colOff>
                <xdr:row>5</xdr:row>
                <xdr:rowOff>104775</xdr:rowOff>
              </from>
              <to>
                <xdr:col>7</xdr:col>
                <xdr:colOff>257175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3" name="Button 30">
          <controlPr defaultSize="0" print="0" autoFill="0" autoPict="0" macro="[0]!Hoja1.btXLSXgenerados_Click">
            <anchor moveWithCells="1">
              <from>
                <xdr:col>6</xdr:col>
                <xdr:colOff>638175</xdr:colOff>
                <xdr:row>8</xdr:row>
                <xdr:rowOff>171450</xdr:rowOff>
              </from>
              <to>
                <xdr:col>7</xdr:col>
                <xdr:colOff>257175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4" name="Button 31">
          <controlPr defaultSize="0" print="0" autoFill="0" autoPict="0" macro="[0]!Hoja1.btSaldoRango_Click">
            <anchor moveWithCells="1">
              <from>
                <xdr:col>7</xdr:col>
                <xdr:colOff>609600</xdr:colOff>
                <xdr:row>1</xdr:row>
                <xdr:rowOff>0</xdr:rowOff>
              </from>
              <to>
                <xdr:col>8</xdr:col>
                <xdr:colOff>752475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5" name="Button 32">
          <controlPr defaultSize="0" print="0" autoFill="0" autoPict="0" macro="[0]!Hoja1.btPendientes_Click">
            <anchor moveWithCells="1">
              <from>
                <xdr:col>7</xdr:col>
                <xdr:colOff>619125</xdr:colOff>
                <xdr:row>4</xdr:row>
                <xdr:rowOff>28575</xdr:rowOff>
              </from>
              <to>
                <xdr:col>8</xdr:col>
                <xdr:colOff>762000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6" name="Button 33">
          <controlPr defaultSize="0" print="0" autoFill="0" autoPict="0" macro="[0]!Hoja1.btBuscarSuma_Click">
            <anchor moveWithCells="1">
              <from>
                <xdr:col>7</xdr:col>
                <xdr:colOff>619125</xdr:colOff>
                <xdr:row>6</xdr:row>
                <xdr:rowOff>123825</xdr:rowOff>
              </from>
              <to>
                <xdr:col>8</xdr:col>
                <xdr:colOff>762000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17" name="Button 34">
          <controlPr defaultSize="0" print="0" autoFill="0" autoPict="0" macro="[0]!Hoja1.btCompararListas_Click">
            <anchor moveWithCells="1">
              <from>
                <xdr:col>7</xdr:col>
                <xdr:colOff>628650</xdr:colOff>
                <xdr:row>9</xdr:row>
                <xdr:rowOff>66675</xdr:rowOff>
              </from>
              <to>
                <xdr:col>8</xdr:col>
                <xdr:colOff>771525</xdr:colOff>
                <xdr:row>11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1:G219"/>
  <sheetViews>
    <sheetView topLeftCell="A2" workbookViewId="0">
      <selection activeCell="A8" sqref="A6:A13"/>
    </sheetView>
  </sheetViews>
  <sheetFormatPr baseColWidth="10" defaultRowHeight="15" x14ac:dyDescent="0.25"/>
  <cols>
    <col min="1" max="1" width="13.42578125" style="11" customWidth="1"/>
    <col min="2" max="2" width="16.7109375" style="32" customWidth="1"/>
    <col min="3" max="3" width="9.5703125" style="32" customWidth="1"/>
    <col min="4" max="4" width="14" style="32" customWidth="1"/>
  </cols>
  <sheetData>
    <row r="1" spans="1:7" x14ac:dyDescent="0.25">
      <c r="A1" s="32"/>
    </row>
    <row r="2" spans="1:7" x14ac:dyDescent="0.25">
      <c r="A2" s="32" t="s">
        <v>84</v>
      </c>
      <c r="B2" s="33"/>
      <c r="C2" s="32" t="s">
        <v>85</v>
      </c>
    </row>
    <row r="3" spans="1:7" x14ac:dyDescent="0.25">
      <c r="A3" s="32" t="s">
        <v>86</v>
      </c>
      <c r="B3" s="34"/>
      <c r="C3" s="35">
        <f>B2-B3</f>
        <v>0</v>
      </c>
    </row>
    <row r="4" spans="1:7" x14ac:dyDescent="0.25">
      <c r="A4" s="32"/>
      <c r="D4" s="36">
        <f>+C3+B5</f>
        <v>1706187.96</v>
      </c>
    </row>
    <row r="5" spans="1:7" x14ac:dyDescent="0.25">
      <c r="A5" s="37"/>
      <c r="B5" s="38">
        <f>SUM(A5:A219)</f>
        <v>1706187.96</v>
      </c>
    </row>
    <row r="6" spans="1:7" x14ac:dyDescent="0.25">
      <c r="A6" s="37">
        <v>1706342.25</v>
      </c>
    </row>
    <row r="7" spans="1:7" x14ac:dyDescent="0.25">
      <c r="A7" s="37">
        <v>-154.29</v>
      </c>
    </row>
    <row r="8" spans="1:7" ht="18" customHeight="1" x14ac:dyDescent="0.25">
      <c r="A8" s="37"/>
    </row>
    <row r="9" spans="1:7" x14ac:dyDescent="0.25">
      <c r="A9" s="37"/>
    </row>
    <row r="10" spans="1:7" x14ac:dyDescent="0.25">
      <c r="A10" s="37"/>
    </row>
    <row r="11" spans="1:7" x14ac:dyDescent="0.25">
      <c r="A11" s="37"/>
      <c r="B11" s="39" t="s">
        <v>87</v>
      </c>
      <c r="C11" s="39" t="s">
        <v>88</v>
      </c>
      <c r="D11" s="40"/>
    </row>
    <row r="12" spans="1:7" x14ac:dyDescent="0.25">
      <c r="A12" s="37"/>
      <c r="B12" s="41">
        <v>4.4999999999999997E-3</v>
      </c>
      <c r="C12" s="42">
        <v>2657</v>
      </c>
      <c r="D12" s="43">
        <f>+C12*B12</f>
        <v>11.956499999999998</v>
      </c>
      <c r="G12" s="44"/>
    </row>
    <row r="13" spans="1:7" x14ac:dyDescent="0.25">
      <c r="A13" s="37"/>
      <c r="B13" s="45">
        <v>5.0000000000000001E-3</v>
      </c>
      <c r="C13" s="40"/>
      <c r="D13" s="43">
        <f>+C12*B13</f>
        <v>13.285</v>
      </c>
      <c r="G13" s="44"/>
    </row>
    <row r="14" spans="1:7" x14ac:dyDescent="0.25">
      <c r="A14" s="37"/>
    </row>
    <row r="15" spans="1:7" x14ac:dyDescent="0.25">
      <c r="A15" s="37"/>
    </row>
    <row r="16" spans="1:7" x14ac:dyDescent="0.25">
      <c r="A16" s="37"/>
    </row>
    <row r="17" spans="1:1" x14ac:dyDescent="0.25">
      <c r="A17" s="37"/>
    </row>
    <row r="18" spans="1:1" x14ac:dyDescent="0.25">
      <c r="A18" s="37"/>
    </row>
    <row r="19" spans="1:1" x14ac:dyDescent="0.25">
      <c r="A19" s="37"/>
    </row>
    <row r="20" spans="1:1" x14ac:dyDescent="0.25">
      <c r="A20" s="37"/>
    </row>
    <row r="21" spans="1:1" x14ac:dyDescent="0.25">
      <c r="A21" s="37"/>
    </row>
    <row r="22" spans="1:1" x14ac:dyDescent="0.25">
      <c r="A22" s="37"/>
    </row>
    <row r="23" spans="1:1" x14ac:dyDescent="0.25">
      <c r="A23" s="37"/>
    </row>
    <row r="24" spans="1:1" x14ac:dyDescent="0.25">
      <c r="A24" s="37"/>
    </row>
    <row r="25" spans="1:1" x14ac:dyDescent="0.25">
      <c r="A25" s="37"/>
    </row>
    <row r="26" spans="1:1" x14ac:dyDescent="0.25">
      <c r="A26" s="37"/>
    </row>
    <row r="27" spans="1:1" x14ac:dyDescent="0.25">
      <c r="A27" s="37"/>
    </row>
    <row r="28" spans="1:1" x14ac:dyDescent="0.25">
      <c r="A28" s="37"/>
    </row>
    <row r="29" spans="1:1" x14ac:dyDescent="0.25">
      <c r="A29" s="37"/>
    </row>
    <row r="30" spans="1:1" x14ac:dyDescent="0.25">
      <c r="A30" s="37"/>
    </row>
    <row r="31" spans="1:1" x14ac:dyDescent="0.25">
      <c r="A31" s="37"/>
    </row>
    <row r="32" spans="1:1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</sheetData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pageSetUpPr fitToPage="1"/>
  </sheetPr>
  <dimension ref="A1:L52"/>
  <sheetViews>
    <sheetView topLeftCell="C1" workbookViewId="0">
      <selection activeCell="H25" sqref="H25"/>
    </sheetView>
  </sheetViews>
  <sheetFormatPr baseColWidth="10" defaultRowHeight="15" x14ac:dyDescent="0.25"/>
  <cols>
    <col min="1" max="1" width="8.42578125" hidden="1" customWidth="1"/>
    <col min="2" max="2" width="31.42578125" hidden="1" customWidth="1"/>
    <col min="3" max="3" width="13.28515625" customWidth="1"/>
    <col min="4" max="4" width="17.140625" customWidth="1"/>
    <col min="5" max="5" width="4.5703125" style="59" customWidth="1"/>
    <col min="6" max="6" width="13.28515625" style="83" customWidth="1"/>
    <col min="7" max="7" width="14.28515625" style="15" customWidth="1"/>
    <col min="8" max="8" width="22.140625" customWidth="1"/>
    <col min="9" max="9" width="38.5703125" customWidth="1"/>
  </cols>
  <sheetData>
    <row r="1" spans="1:9" ht="21" x14ac:dyDescent="0.35">
      <c r="H1" s="60" t="s">
        <v>366</v>
      </c>
    </row>
    <row r="3" spans="1:9" x14ac:dyDescent="0.25">
      <c r="A3" s="17" t="s">
        <v>40</v>
      </c>
      <c r="B3" s="64" t="s">
        <v>121</v>
      </c>
      <c r="C3" s="66" t="e">
        <f>+INDEX(#REF!,MATCH(Pendientes!B3,#REF!,0))</f>
        <v>#REF!</v>
      </c>
      <c r="D3" s="65" t="s">
        <v>109</v>
      </c>
      <c r="E3" s="62" t="s">
        <v>122</v>
      </c>
      <c r="F3" s="84" t="s">
        <v>126</v>
      </c>
      <c r="G3" s="24" t="s">
        <v>79</v>
      </c>
      <c r="H3" s="63" t="s">
        <v>80</v>
      </c>
      <c r="I3" s="63" t="s">
        <v>81</v>
      </c>
    </row>
    <row r="4" spans="1:9" x14ac:dyDescent="0.25">
      <c r="A4">
        <v>3770</v>
      </c>
      <c r="B4" t="s">
        <v>16</v>
      </c>
      <c r="C4" s="66"/>
      <c r="D4" t="s">
        <v>64</v>
      </c>
      <c r="E4" s="27" t="s">
        <v>123</v>
      </c>
      <c r="F4" s="83">
        <v>44032</v>
      </c>
      <c r="G4" s="15">
        <v>-164.57</v>
      </c>
      <c r="H4" s="57" t="s">
        <v>340</v>
      </c>
      <c r="I4" s="57"/>
    </row>
    <row r="5" spans="1:9" x14ac:dyDescent="0.25">
      <c r="A5">
        <v>3781</v>
      </c>
      <c r="B5" t="s">
        <v>17</v>
      </c>
      <c r="C5" s="66"/>
      <c r="D5" t="s">
        <v>18</v>
      </c>
      <c r="E5" s="27" t="s">
        <v>123</v>
      </c>
      <c r="F5" s="83">
        <v>44033</v>
      </c>
      <c r="G5" s="15">
        <v>-3435.2</v>
      </c>
      <c r="H5" s="57" t="s">
        <v>350</v>
      </c>
      <c r="I5" s="57"/>
    </row>
    <row r="6" spans="1:9" x14ac:dyDescent="0.25">
      <c r="A6">
        <v>3863</v>
      </c>
      <c r="B6" t="s">
        <v>17</v>
      </c>
      <c r="C6" s="66"/>
      <c r="D6" t="s">
        <v>18</v>
      </c>
      <c r="E6" s="27" t="s">
        <v>123</v>
      </c>
      <c r="F6" s="83">
        <v>44034</v>
      </c>
      <c r="G6" s="15">
        <v>41</v>
      </c>
      <c r="H6" s="57" t="s">
        <v>125</v>
      </c>
      <c r="I6" s="57"/>
    </row>
    <row r="7" spans="1:9" x14ac:dyDescent="0.25">
      <c r="A7">
        <v>3782</v>
      </c>
      <c r="B7" t="s">
        <v>17</v>
      </c>
      <c r="C7" s="66"/>
      <c r="D7" t="s">
        <v>19</v>
      </c>
      <c r="E7" s="27" t="s">
        <v>123</v>
      </c>
      <c r="F7" s="83">
        <v>44033</v>
      </c>
      <c r="G7" s="15">
        <v>-20</v>
      </c>
      <c r="H7" s="57" t="s">
        <v>351</v>
      </c>
      <c r="I7" s="57"/>
    </row>
    <row r="8" spans="1:9" x14ac:dyDescent="0.25">
      <c r="A8">
        <v>3864</v>
      </c>
      <c r="B8" t="s">
        <v>22</v>
      </c>
      <c r="C8" s="66"/>
      <c r="D8" t="s">
        <v>24</v>
      </c>
      <c r="E8" s="27" t="s">
        <v>123</v>
      </c>
      <c r="F8" s="83">
        <v>44034</v>
      </c>
      <c r="G8" s="15">
        <v>-1558</v>
      </c>
      <c r="H8" s="57" t="s">
        <v>355</v>
      </c>
      <c r="I8" s="57"/>
    </row>
    <row r="9" spans="1:9" x14ac:dyDescent="0.25">
      <c r="A9">
        <v>3865</v>
      </c>
      <c r="B9" t="s">
        <v>22</v>
      </c>
      <c r="C9" s="66"/>
      <c r="D9" t="s">
        <v>24</v>
      </c>
      <c r="E9" s="27" t="s">
        <v>123</v>
      </c>
      <c r="F9" s="83">
        <v>44034</v>
      </c>
      <c r="G9" s="15">
        <v>-0.1</v>
      </c>
      <c r="H9" s="57" t="s">
        <v>260</v>
      </c>
      <c r="I9" s="57"/>
    </row>
    <row r="10" spans="1:9" x14ac:dyDescent="0.25">
      <c r="A10">
        <v>3871</v>
      </c>
      <c r="B10" t="s">
        <v>22</v>
      </c>
      <c r="C10" s="66"/>
      <c r="D10" t="s">
        <v>49</v>
      </c>
      <c r="E10" s="27" t="s">
        <v>124</v>
      </c>
      <c r="F10" s="83">
        <v>44034</v>
      </c>
      <c r="G10" s="15">
        <v>-0.5</v>
      </c>
      <c r="H10" s="57" t="s">
        <v>260</v>
      </c>
      <c r="I10" s="57"/>
    </row>
    <row r="11" spans="1:9" x14ac:dyDescent="0.25">
      <c r="A11">
        <v>3866</v>
      </c>
      <c r="B11" t="s">
        <v>22</v>
      </c>
      <c r="C11" s="66"/>
      <c r="D11" t="s">
        <v>49</v>
      </c>
      <c r="E11" s="27" t="s">
        <v>124</v>
      </c>
      <c r="F11" s="83">
        <v>44034</v>
      </c>
      <c r="G11" s="15">
        <v>-20</v>
      </c>
      <c r="H11" s="57" t="s">
        <v>260</v>
      </c>
      <c r="I11" s="57"/>
    </row>
    <row r="12" spans="1:9" x14ac:dyDescent="0.25">
      <c r="A12">
        <v>3867</v>
      </c>
      <c r="B12" t="s">
        <v>22</v>
      </c>
      <c r="C12" s="66"/>
      <c r="D12" t="s">
        <v>49</v>
      </c>
      <c r="E12" s="27" t="s">
        <v>124</v>
      </c>
      <c r="F12" s="83">
        <v>44034</v>
      </c>
      <c r="G12" s="15">
        <v>-15</v>
      </c>
      <c r="H12" s="57" t="s">
        <v>260</v>
      </c>
      <c r="I12" s="57"/>
    </row>
    <row r="13" spans="1:9" x14ac:dyDescent="0.25">
      <c r="A13">
        <v>3868</v>
      </c>
      <c r="B13" t="s">
        <v>22</v>
      </c>
      <c r="C13" s="66"/>
      <c r="D13" t="s">
        <v>49</v>
      </c>
      <c r="E13" s="27" t="s">
        <v>124</v>
      </c>
      <c r="F13" s="83">
        <v>44034</v>
      </c>
      <c r="G13" s="15">
        <v>-75</v>
      </c>
      <c r="H13" s="57" t="s">
        <v>260</v>
      </c>
      <c r="I13" s="57"/>
    </row>
    <row r="14" spans="1:9" x14ac:dyDescent="0.25">
      <c r="A14">
        <v>3870</v>
      </c>
      <c r="B14" t="s">
        <v>22</v>
      </c>
      <c r="C14" s="66"/>
      <c r="D14" t="s">
        <v>49</v>
      </c>
      <c r="E14" s="27" t="s">
        <v>124</v>
      </c>
      <c r="F14" s="83">
        <v>44034</v>
      </c>
      <c r="G14" s="15">
        <v>-44.4</v>
      </c>
      <c r="H14" s="57" t="s">
        <v>260</v>
      </c>
      <c r="I14" s="57"/>
    </row>
    <row r="15" spans="1:9" x14ac:dyDescent="0.25">
      <c r="A15">
        <v>3872</v>
      </c>
      <c r="B15" t="s">
        <v>22</v>
      </c>
      <c r="C15" s="66"/>
      <c r="D15" t="s">
        <v>49</v>
      </c>
      <c r="E15" s="27" t="s">
        <v>124</v>
      </c>
      <c r="F15" s="83">
        <v>44034</v>
      </c>
      <c r="G15" s="15">
        <v>-63</v>
      </c>
      <c r="H15" s="57" t="s">
        <v>359</v>
      </c>
      <c r="I15" s="57" t="s">
        <v>358</v>
      </c>
    </row>
    <row r="16" spans="1:9" x14ac:dyDescent="0.25">
      <c r="A16">
        <v>3873</v>
      </c>
      <c r="B16" t="s">
        <v>22</v>
      </c>
      <c r="C16" s="66"/>
      <c r="D16" t="s">
        <v>49</v>
      </c>
      <c r="E16" s="27" t="s">
        <v>124</v>
      </c>
      <c r="F16" s="83">
        <v>44034</v>
      </c>
      <c r="G16" s="15">
        <v>25</v>
      </c>
      <c r="H16" s="57" t="s">
        <v>356</v>
      </c>
      <c r="I16" s="57" t="s">
        <v>357</v>
      </c>
    </row>
    <row r="17" spans="1:12" x14ac:dyDescent="0.25">
      <c r="A17">
        <v>3869</v>
      </c>
      <c r="B17" t="s">
        <v>22</v>
      </c>
      <c r="C17" s="66"/>
      <c r="D17" t="s">
        <v>49</v>
      </c>
      <c r="E17" s="27" t="s">
        <v>124</v>
      </c>
      <c r="F17" s="83">
        <v>44034</v>
      </c>
      <c r="G17" s="15">
        <v>-50</v>
      </c>
      <c r="H17" s="57" t="s">
        <v>260</v>
      </c>
      <c r="I17" s="57"/>
      <c r="J17" s="61"/>
      <c r="K17" s="61"/>
      <c r="L17" s="61"/>
    </row>
    <row r="18" spans="1:12" x14ac:dyDescent="0.25">
      <c r="A18">
        <v>3843</v>
      </c>
      <c r="B18" t="s">
        <v>25</v>
      </c>
      <c r="C18" s="66"/>
      <c r="D18" t="s">
        <v>26</v>
      </c>
      <c r="E18" s="27" t="s">
        <v>123</v>
      </c>
      <c r="F18" s="83">
        <v>44033</v>
      </c>
      <c r="G18" s="15">
        <v>-30</v>
      </c>
      <c r="H18" s="57" t="s">
        <v>338</v>
      </c>
      <c r="I18" s="57" t="s">
        <v>360</v>
      </c>
      <c r="J18" s="61"/>
      <c r="K18" s="61"/>
      <c r="L18" s="61"/>
    </row>
    <row r="19" spans="1:12" x14ac:dyDescent="0.25">
      <c r="A19">
        <v>3874</v>
      </c>
      <c r="B19" t="s">
        <v>25</v>
      </c>
      <c r="C19" s="66"/>
      <c r="D19" t="s">
        <v>26</v>
      </c>
      <c r="E19" s="27" t="s">
        <v>123</v>
      </c>
      <c r="F19" s="83">
        <v>44034</v>
      </c>
      <c r="G19" s="15">
        <v>105</v>
      </c>
      <c r="H19" s="57" t="s">
        <v>125</v>
      </c>
      <c r="I19" s="57"/>
      <c r="J19" s="61"/>
      <c r="K19" s="61"/>
      <c r="L19" s="61"/>
    </row>
    <row r="20" spans="1:12" x14ac:dyDescent="0.25">
      <c r="A20">
        <v>3767</v>
      </c>
      <c r="B20" t="s">
        <v>25</v>
      </c>
      <c r="C20" s="66"/>
      <c r="D20" t="s">
        <v>50</v>
      </c>
      <c r="E20" s="27" t="s">
        <v>124</v>
      </c>
      <c r="F20" s="83">
        <v>44032</v>
      </c>
      <c r="G20" s="15">
        <v>5540</v>
      </c>
      <c r="H20" s="57" t="s">
        <v>264</v>
      </c>
      <c r="I20" s="57"/>
      <c r="J20" s="61"/>
      <c r="K20" s="61"/>
      <c r="L20" s="61"/>
    </row>
    <row r="21" spans="1:12" x14ac:dyDescent="0.25">
      <c r="A21">
        <v>3700</v>
      </c>
      <c r="B21" t="s">
        <v>27</v>
      </c>
      <c r="C21" s="66"/>
      <c r="D21" t="s">
        <v>28</v>
      </c>
      <c r="E21" s="27" t="s">
        <v>123</v>
      </c>
      <c r="F21" s="83">
        <v>44028</v>
      </c>
      <c r="G21" s="15">
        <v>-633.20000000000005</v>
      </c>
      <c r="H21" s="57" t="s">
        <v>352</v>
      </c>
      <c r="I21" s="57"/>
      <c r="J21" s="61"/>
      <c r="K21" s="61"/>
      <c r="L21" s="61"/>
    </row>
    <row r="22" spans="1:12" x14ac:dyDescent="0.25">
      <c r="A22">
        <v>3835</v>
      </c>
      <c r="B22" t="s">
        <v>27</v>
      </c>
      <c r="C22" s="66"/>
      <c r="D22" t="s">
        <v>69</v>
      </c>
      <c r="E22" s="27" t="s">
        <v>124</v>
      </c>
      <c r="F22" s="83">
        <v>44033</v>
      </c>
      <c r="G22" s="15">
        <v>26.46</v>
      </c>
      <c r="H22" s="57" t="s">
        <v>353</v>
      </c>
      <c r="I22" s="57"/>
      <c r="J22" s="61"/>
      <c r="K22" s="61"/>
      <c r="L22" s="61"/>
    </row>
    <row r="23" spans="1:12" x14ac:dyDescent="0.25">
      <c r="A23">
        <v>3875</v>
      </c>
      <c r="B23" t="s">
        <v>60</v>
      </c>
      <c r="C23" s="66"/>
      <c r="D23" t="s">
        <v>70</v>
      </c>
      <c r="E23" s="27" t="s">
        <v>123</v>
      </c>
      <c r="F23" s="83">
        <v>44032</v>
      </c>
      <c r="G23" s="15">
        <v>-19.55</v>
      </c>
      <c r="H23" s="57" t="s">
        <v>361</v>
      </c>
      <c r="I23" s="57" t="s">
        <v>362</v>
      </c>
      <c r="J23" s="61"/>
      <c r="K23" s="61"/>
      <c r="L23" s="61"/>
    </row>
    <row r="24" spans="1:12" x14ac:dyDescent="0.25">
      <c r="A24">
        <v>3838</v>
      </c>
      <c r="B24" t="s">
        <v>29</v>
      </c>
      <c r="C24" s="66"/>
      <c r="D24" t="s">
        <v>53</v>
      </c>
      <c r="E24" s="27" t="s">
        <v>124</v>
      </c>
      <c r="F24" s="83">
        <v>44033</v>
      </c>
      <c r="G24" s="15">
        <v>-0.45</v>
      </c>
      <c r="H24" s="57" t="s">
        <v>354</v>
      </c>
      <c r="I24" s="57"/>
      <c r="J24" s="61"/>
      <c r="K24" s="61"/>
      <c r="L24" s="61"/>
    </row>
    <row r="25" spans="1:12" x14ac:dyDescent="0.25">
      <c r="A25">
        <v>3836</v>
      </c>
      <c r="B25" t="s">
        <v>29</v>
      </c>
      <c r="C25" s="66"/>
      <c r="D25" t="s">
        <v>73</v>
      </c>
      <c r="E25" s="27" t="s">
        <v>123</v>
      </c>
      <c r="F25" s="83">
        <v>44033</v>
      </c>
      <c r="G25" s="15">
        <v>-4.5</v>
      </c>
      <c r="H25" s="57" t="s">
        <v>339</v>
      </c>
      <c r="I25" s="57"/>
      <c r="J25" s="61"/>
      <c r="K25" s="61"/>
      <c r="L25" s="61"/>
    </row>
    <row r="26" spans="1:12" x14ac:dyDescent="0.25">
      <c r="A26">
        <v>3876</v>
      </c>
      <c r="B26" t="s">
        <v>29</v>
      </c>
      <c r="C26" s="66"/>
      <c r="D26" t="s">
        <v>73</v>
      </c>
      <c r="E26" s="27" t="s">
        <v>123</v>
      </c>
      <c r="F26" s="83">
        <v>44034</v>
      </c>
      <c r="G26" s="15">
        <v>-1.5</v>
      </c>
      <c r="H26" s="57" t="s">
        <v>339</v>
      </c>
      <c r="I26" s="57"/>
      <c r="J26" s="61"/>
      <c r="K26" s="61"/>
      <c r="L26" s="61"/>
    </row>
    <row r="27" spans="1:12" x14ac:dyDescent="0.25">
      <c r="A27">
        <v>3860</v>
      </c>
      <c r="B27" t="s">
        <v>29</v>
      </c>
      <c r="C27" s="66"/>
      <c r="D27" t="s">
        <v>30</v>
      </c>
      <c r="E27" s="27" t="s">
        <v>123</v>
      </c>
      <c r="F27" s="83">
        <v>44032</v>
      </c>
      <c r="G27" s="15">
        <v>106.22</v>
      </c>
      <c r="H27" s="57" t="s">
        <v>349</v>
      </c>
      <c r="I27" s="57" t="s">
        <v>345</v>
      </c>
      <c r="J27" s="61"/>
      <c r="K27" s="61"/>
      <c r="L27" s="61"/>
    </row>
    <row r="28" spans="1:12" x14ac:dyDescent="0.25">
      <c r="A28">
        <v>3855</v>
      </c>
      <c r="B28" t="s">
        <v>29</v>
      </c>
      <c r="C28" s="66"/>
      <c r="D28" t="s">
        <v>30</v>
      </c>
      <c r="E28" s="27" t="s">
        <v>123</v>
      </c>
      <c r="F28" s="83">
        <v>44032</v>
      </c>
      <c r="G28" s="15">
        <v>3.61</v>
      </c>
      <c r="H28" s="57" t="s">
        <v>341</v>
      </c>
      <c r="I28" s="57" t="s">
        <v>344</v>
      </c>
      <c r="J28" s="61"/>
      <c r="K28" s="61"/>
      <c r="L28" s="61"/>
    </row>
    <row r="29" spans="1:12" x14ac:dyDescent="0.25">
      <c r="A29">
        <v>3856</v>
      </c>
      <c r="B29" t="s">
        <v>29</v>
      </c>
      <c r="C29" s="66"/>
      <c r="D29" t="s">
        <v>30</v>
      </c>
      <c r="E29" s="27" t="s">
        <v>123</v>
      </c>
      <c r="F29" s="83">
        <v>44032</v>
      </c>
      <c r="G29" s="15">
        <v>-17.510000000000002</v>
      </c>
      <c r="H29" s="57" t="s">
        <v>342</v>
      </c>
      <c r="I29" s="57" t="s">
        <v>344</v>
      </c>
      <c r="J29" s="61"/>
      <c r="K29" s="61"/>
      <c r="L29" s="61"/>
    </row>
    <row r="30" spans="1:12" x14ac:dyDescent="0.25">
      <c r="A30">
        <v>3859</v>
      </c>
      <c r="B30" t="s">
        <v>29</v>
      </c>
      <c r="C30" s="66"/>
      <c r="D30" t="s">
        <v>30</v>
      </c>
      <c r="E30" s="27" t="s">
        <v>123</v>
      </c>
      <c r="F30" s="83">
        <v>44032</v>
      </c>
      <c r="G30" s="15">
        <v>-3.79</v>
      </c>
      <c r="H30" s="57" t="s">
        <v>343</v>
      </c>
      <c r="I30" s="57" t="s">
        <v>345</v>
      </c>
      <c r="J30" s="61"/>
      <c r="K30" s="61"/>
      <c r="L30" s="61"/>
    </row>
    <row r="31" spans="1:12" x14ac:dyDescent="0.25">
      <c r="A31">
        <v>3858</v>
      </c>
      <c r="B31" t="s">
        <v>29</v>
      </c>
      <c r="C31" s="66"/>
      <c r="D31" t="s">
        <v>30</v>
      </c>
      <c r="E31" s="27" t="s">
        <v>123</v>
      </c>
      <c r="F31" s="83">
        <v>44032</v>
      </c>
      <c r="G31" s="15">
        <v>275.5</v>
      </c>
      <c r="H31" s="57" t="s">
        <v>341</v>
      </c>
      <c r="I31" s="57" t="s">
        <v>345</v>
      </c>
      <c r="J31" s="61"/>
      <c r="K31" s="61"/>
      <c r="L31" s="61"/>
    </row>
    <row r="32" spans="1:12" x14ac:dyDescent="0.25">
      <c r="A32">
        <v>3857</v>
      </c>
      <c r="B32" t="s">
        <v>29</v>
      </c>
      <c r="C32" s="66"/>
      <c r="D32" t="s">
        <v>30</v>
      </c>
      <c r="E32" s="27" t="s">
        <v>123</v>
      </c>
      <c r="F32" s="83">
        <v>44032</v>
      </c>
      <c r="G32" s="15">
        <v>-119.69</v>
      </c>
      <c r="H32" s="57" t="s">
        <v>342</v>
      </c>
      <c r="I32" s="57" t="s">
        <v>345</v>
      </c>
      <c r="J32" s="61"/>
      <c r="K32" s="61"/>
      <c r="L32" s="61"/>
    </row>
    <row r="33" spans="1:9" x14ac:dyDescent="0.25">
      <c r="A33">
        <v>3862</v>
      </c>
      <c r="B33" t="s">
        <v>29</v>
      </c>
      <c r="C33" s="66"/>
      <c r="D33" t="s">
        <v>30</v>
      </c>
      <c r="E33" s="27" t="s">
        <v>123</v>
      </c>
      <c r="F33" s="83">
        <v>44033</v>
      </c>
      <c r="G33" s="15">
        <v>96.25</v>
      </c>
      <c r="H33" s="57" t="s">
        <v>341</v>
      </c>
      <c r="I33" s="57" t="s">
        <v>346</v>
      </c>
    </row>
    <row r="34" spans="1:9" x14ac:dyDescent="0.25">
      <c r="A34">
        <v>3861</v>
      </c>
      <c r="B34" t="s">
        <v>29</v>
      </c>
      <c r="C34" s="66"/>
      <c r="D34" t="s">
        <v>30</v>
      </c>
      <c r="E34" s="27" t="s">
        <v>123</v>
      </c>
      <c r="F34" s="83">
        <v>44033</v>
      </c>
      <c r="G34" s="15">
        <v>-70.680000000000007</v>
      </c>
      <c r="H34" s="57" t="s">
        <v>342</v>
      </c>
      <c r="I34" s="57" t="s">
        <v>346</v>
      </c>
    </row>
    <row r="35" spans="1:9" x14ac:dyDescent="0.25">
      <c r="A35">
        <v>3883</v>
      </c>
      <c r="B35" t="s">
        <v>29</v>
      </c>
      <c r="C35" s="66"/>
      <c r="D35" t="s">
        <v>30</v>
      </c>
      <c r="E35" s="27" t="s">
        <v>123</v>
      </c>
      <c r="F35" s="83">
        <v>44034</v>
      </c>
      <c r="G35" s="15">
        <v>-51.64</v>
      </c>
      <c r="H35" s="57" t="s">
        <v>342</v>
      </c>
      <c r="I35" s="57" t="s">
        <v>363</v>
      </c>
    </row>
    <row r="36" spans="1:9" x14ac:dyDescent="0.25">
      <c r="A36">
        <v>3882</v>
      </c>
      <c r="B36" t="s">
        <v>29</v>
      </c>
      <c r="C36" s="66"/>
      <c r="D36" t="s">
        <v>30</v>
      </c>
      <c r="E36" s="27" t="s">
        <v>123</v>
      </c>
      <c r="F36" s="83">
        <v>44034</v>
      </c>
      <c r="G36" s="15">
        <v>69.52</v>
      </c>
      <c r="H36" s="57" t="s">
        <v>343</v>
      </c>
      <c r="I36" s="57" t="s">
        <v>363</v>
      </c>
    </row>
    <row r="37" spans="1:9" x14ac:dyDescent="0.25">
      <c r="A37">
        <v>3881</v>
      </c>
      <c r="B37" t="s">
        <v>29</v>
      </c>
      <c r="C37" s="66"/>
      <c r="D37" t="s">
        <v>30</v>
      </c>
      <c r="E37" s="27" t="s">
        <v>123</v>
      </c>
      <c r="F37" s="83">
        <v>44034</v>
      </c>
      <c r="G37" s="15">
        <v>-229.3</v>
      </c>
      <c r="H37" s="57" t="s">
        <v>365</v>
      </c>
      <c r="I37" s="57" t="s">
        <v>363</v>
      </c>
    </row>
    <row r="38" spans="1:9" x14ac:dyDescent="0.25">
      <c r="A38">
        <v>3847</v>
      </c>
      <c r="B38" t="s">
        <v>29</v>
      </c>
      <c r="C38" s="66"/>
      <c r="D38" t="s">
        <v>54</v>
      </c>
      <c r="E38" s="27" t="s">
        <v>124</v>
      </c>
      <c r="F38" s="83">
        <v>44032</v>
      </c>
      <c r="G38" s="15">
        <v>-0.75</v>
      </c>
      <c r="H38" s="57" t="s">
        <v>343</v>
      </c>
      <c r="I38" s="57" t="s">
        <v>345</v>
      </c>
    </row>
    <row r="39" spans="1:9" x14ac:dyDescent="0.25">
      <c r="A39">
        <v>3846</v>
      </c>
      <c r="B39" t="s">
        <v>29</v>
      </c>
      <c r="C39" s="66"/>
      <c r="D39" t="s">
        <v>54</v>
      </c>
      <c r="E39" s="27" t="s">
        <v>124</v>
      </c>
      <c r="F39" s="83">
        <v>44032</v>
      </c>
      <c r="G39" s="15">
        <v>-1.87</v>
      </c>
      <c r="H39" s="57" t="s">
        <v>342</v>
      </c>
      <c r="I39" s="57" t="s">
        <v>344</v>
      </c>
    </row>
    <row r="40" spans="1:9" x14ac:dyDescent="0.25">
      <c r="A40">
        <v>3848</v>
      </c>
      <c r="B40" t="s">
        <v>29</v>
      </c>
      <c r="C40" s="66"/>
      <c r="D40" t="s">
        <v>54</v>
      </c>
      <c r="E40" s="27" t="s">
        <v>124</v>
      </c>
      <c r="F40" s="83">
        <v>44032</v>
      </c>
      <c r="G40" s="15">
        <v>0.93</v>
      </c>
      <c r="H40" s="57" t="s">
        <v>341</v>
      </c>
      <c r="I40" s="57" t="s">
        <v>345</v>
      </c>
    </row>
    <row r="41" spans="1:9" x14ac:dyDescent="0.25">
      <c r="A41">
        <v>3849</v>
      </c>
      <c r="B41" t="s">
        <v>29</v>
      </c>
      <c r="C41" s="66"/>
      <c r="D41" t="s">
        <v>54</v>
      </c>
      <c r="E41" s="27" t="s">
        <v>124</v>
      </c>
      <c r="F41" s="83">
        <v>44032</v>
      </c>
      <c r="G41" s="15">
        <v>-1.47</v>
      </c>
      <c r="H41" s="57" t="s">
        <v>342</v>
      </c>
      <c r="I41" s="57" t="s">
        <v>345</v>
      </c>
    </row>
    <row r="42" spans="1:9" x14ac:dyDescent="0.25">
      <c r="A42">
        <v>3845</v>
      </c>
      <c r="B42" t="s">
        <v>29</v>
      </c>
      <c r="C42" s="66"/>
      <c r="D42" t="s">
        <v>54</v>
      </c>
      <c r="E42" s="27" t="s">
        <v>124</v>
      </c>
      <c r="F42" s="83">
        <v>44032</v>
      </c>
      <c r="G42" s="15">
        <v>1.73</v>
      </c>
      <c r="H42" s="58" t="s">
        <v>341</v>
      </c>
      <c r="I42" s="58" t="s">
        <v>344</v>
      </c>
    </row>
    <row r="43" spans="1:9" x14ac:dyDescent="0.25">
      <c r="A43">
        <v>3850</v>
      </c>
      <c r="B43" t="s">
        <v>29</v>
      </c>
      <c r="C43" s="66"/>
      <c r="D43" t="s">
        <v>54</v>
      </c>
      <c r="E43" s="27" t="s">
        <v>124</v>
      </c>
      <c r="F43" s="83">
        <v>44033</v>
      </c>
      <c r="G43" s="15">
        <v>-1.25</v>
      </c>
      <c r="H43" s="58" t="s">
        <v>343</v>
      </c>
      <c r="I43" s="58" t="s">
        <v>346</v>
      </c>
    </row>
    <row r="44" spans="1:9" x14ac:dyDescent="0.25">
      <c r="A44">
        <v>3851</v>
      </c>
      <c r="B44" t="s">
        <v>29</v>
      </c>
      <c r="C44" s="66"/>
      <c r="D44" t="s">
        <v>54</v>
      </c>
      <c r="E44" s="59" t="s">
        <v>124</v>
      </c>
      <c r="F44" s="83">
        <v>44033</v>
      </c>
      <c r="G44" s="15">
        <v>1.52</v>
      </c>
      <c r="H44" s="58" t="s">
        <v>341</v>
      </c>
      <c r="I44" s="58" t="s">
        <v>346</v>
      </c>
    </row>
    <row r="45" spans="1:9" x14ac:dyDescent="0.25">
      <c r="A45">
        <v>3852</v>
      </c>
      <c r="B45" t="s">
        <v>29</v>
      </c>
      <c r="C45" s="66"/>
      <c r="D45" t="s">
        <v>54</v>
      </c>
      <c r="E45" s="59" t="s">
        <v>124</v>
      </c>
      <c r="F45" s="83">
        <v>44033</v>
      </c>
      <c r="G45" s="15">
        <v>-4.76</v>
      </c>
      <c r="H45" s="58" t="s">
        <v>342</v>
      </c>
      <c r="I45" s="58" t="s">
        <v>346</v>
      </c>
    </row>
    <row r="46" spans="1:9" x14ac:dyDescent="0.25">
      <c r="A46">
        <v>3853</v>
      </c>
      <c r="B46" t="s">
        <v>29</v>
      </c>
      <c r="C46" s="66"/>
      <c r="D46" t="s">
        <v>54</v>
      </c>
      <c r="E46" s="59" t="s">
        <v>124</v>
      </c>
      <c r="F46" s="83">
        <v>44033</v>
      </c>
      <c r="G46" s="15">
        <v>-531</v>
      </c>
      <c r="H46" s="58" t="s">
        <v>347</v>
      </c>
      <c r="I46" s="58" t="s">
        <v>346</v>
      </c>
    </row>
    <row r="47" spans="1:9" x14ac:dyDescent="0.25">
      <c r="A47">
        <v>3854</v>
      </c>
      <c r="B47" t="s">
        <v>29</v>
      </c>
      <c r="C47" s="66"/>
      <c r="D47" t="s">
        <v>54</v>
      </c>
      <c r="E47" s="59" t="s">
        <v>124</v>
      </c>
      <c r="F47" s="83">
        <v>44033</v>
      </c>
      <c r="G47" s="15">
        <v>-202.02</v>
      </c>
      <c r="H47" s="58" t="s">
        <v>348</v>
      </c>
      <c r="I47" s="58" t="s">
        <v>346</v>
      </c>
    </row>
    <row r="48" spans="1:9" x14ac:dyDescent="0.25">
      <c r="A48">
        <v>3877</v>
      </c>
      <c r="B48" t="s">
        <v>29</v>
      </c>
      <c r="C48" s="66"/>
      <c r="D48" t="s">
        <v>54</v>
      </c>
      <c r="E48" s="59" t="s">
        <v>124</v>
      </c>
      <c r="F48" s="83">
        <v>44034</v>
      </c>
      <c r="G48" s="15">
        <v>-2.72</v>
      </c>
      <c r="H48" s="61" t="s">
        <v>342</v>
      </c>
      <c r="I48" s="61" t="s">
        <v>363</v>
      </c>
    </row>
    <row r="49" spans="1:9" x14ac:dyDescent="0.25">
      <c r="A49">
        <v>3878</v>
      </c>
      <c r="B49" t="s">
        <v>29</v>
      </c>
      <c r="C49" s="66"/>
      <c r="D49" t="s">
        <v>54</v>
      </c>
      <c r="E49" s="59" t="s">
        <v>124</v>
      </c>
      <c r="F49" s="83">
        <v>44034</v>
      </c>
      <c r="G49" s="15">
        <v>-2.5</v>
      </c>
      <c r="H49" s="61" t="s">
        <v>343</v>
      </c>
      <c r="I49" s="61" t="s">
        <v>363</v>
      </c>
    </row>
    <row r="50" spans="1:9" x14ac:dyDescent="0.25">
      <c r="A50">
        <v>3879</v>
      </c>
      <c r="B50" t="s">
        <v>29</v>
      </c>
      <c r="C50" s="66"/>
      <c r="D50" t="s">
        <v>54</v>
      </c>
      <c r="E50" s="59" t="s">
        <v>124</v>
      </c>
      <c r="F50" s="83">
        <v>44034</v>
      </c>
      <c r="G50" s="15">
        <v>0.43</v>
      </c>
      <c r="H50" s="61" t="s">
        <v>341</v>
      </c>
      <c r="I50" s="61" t="s">
        <v>363</v>
      </c>
    </row>
    <row r="51" spans="1:9" x14ac:dyDescent="0.25">
      <c r="A51">
        <v>3880</v>
      </c>
      <c r="B51" t="s">
        <v>29</v>
      </c>
      <c r="D51" t="s">
        <v>54</v>
      </c>
      <c r="E51" s="59" t="s">
        <v>124</v>
      </c>
      <c r="F51" s="83">
        <v>44034</v>
      </c>
      <c r="G51" s="15">
        <v>-8.92</v>
      </c>
      <c r="H51" s="61" t="s">
        <v>364</v>
      </c>
      <c r="I51" s="61" t="s">
        <v>363</v>
      </c>
    </row>
    <row r="52" spans="1:9" x14ac:dyDescent="0.25">
      <c r="H52" s="80"/>
      <c r="I52" s="80"/>
    </row>
  </sheetData>
  <conditionalFormatting sqref="C3:I69">
    <cfRule type="expression" dxfId="0" priority="2">
      <formula>AND($D3&lt;&gt;$D4)</formula>
    </cfRule>
  </conditionalFormatting>
  <pageMargins left="0.70866141732283472" right="0.70866141732283472" top="0.74803149606299213" bottom="0.74803149606299213" header="0.31496062992125984" footer="0.31496062992125984"/>
  <pageSetup paperSize="9" scale="70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btRegresar">
          <controlPr defaultSize="0" autoLine="0" r:id="rId5">
            <anchor moveWithCells="1">
              <from>
                <xdr:col>9</xdr:col>
                <xdr:colOff>276225</xdr:colOff>
                <xdr:row>2</xdr:row>
                <xdr:rowOff>66675</xdr:rowOff>
              </from>
              <to>
                <xdr:col>11</xdr:col>
                <xdr:colOff>285750</xdr:colOff>
                <xdr:row>4</xdr:row>
                <xdr:rowOff>47625</xdr:rowOff>
              </to>
            </anchor>
          </controlPr>
        </control>
      </mc:Choice>
      <mc:Fallback>
        <control shapeId="18433" r:id="rId4" name="btRegres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2:I15"/>
  <sheetViews>
    <sheetView workbookViewId="0">
      <selection activeCell="D7" sqref="B7:D7"/>
    </sheetView>
  </sheetViews>
  <sheetFormatPr baseColWidth="10" defaultRowHeight="15" x14ac:dyDescent="0.25"/>
  <cols>
    <col min="1" max="1" width="4.42578125" customWidth="1"/>
    <col min="3" max="3" width="23.42578125" style="15" customWidth="1"/>
    <col min="4" max="4" width="21.5703125" style="15" customWidth="1"/>
  </cols>
  <sheetData>
    <row r="2" spans="2:9" x14ac:dyDescent="0.25">
      <c r="B2" s="1" t="s">
        <v>0</v>
      </c>
      <c r="C2" s="22" t="str">
        <f>BANCO</f>
        <v>Banco Internacional del Peru - INTERBANK</v>
      </c>
    </row>
    <row r="3" spans="2:9" x14ac:dyDescent="0.25">
      <c r="B3" s="1" t="s">
        <v>2</v>
      </c>
      <c r="C3" s="22" t="str">
        <f>CUENTA</f>
        <v>041-3000106330</v>
      </c>
    </row>
    <row r="4" spans="2:9" x14ac:dyDescent="0.25">
      <c r="B4" s="3" t="s">
        <v>3</v>
      </c>
      <c r="C4" s="15" t="str">
        <f>MONEDA</f>
        <v>SOLES</v>
      </c>
    </row>
    <row r="6" spans="2:9" x14ac:dyDescent="0.25">
      <c r="B6" s="23" t="s">
        <v>56</v>
      </c>
      <c r="C6" s="24" t="s">
        <v>58</v>
      </c>
      <c r="D6" s="24" t="s">
        <v>57</v>
      </c>
    </row>
    <row r="7" spans="2:9" x14ac:dyDescent="0.25">
      <c r="B7" s="4"/>
      <c r="E7" s="48"/>
      <c r="F7" s="48"/>
      <c r="H7" s="48"/>
      <c r="I7" s="48"/>
    </row>
    <row r="8" spans="2:9" x14ac:dyDescent="0.25">
      <c r="B8" s="4"/>
      <c r="E8" s="48"/>
      <c r="F8" s="48"/>
      <c r="H8" s="48"/>
      <c r="I8" s="48"/>
    </row>
    <row r="9" spans="2:9" x14ac:dyDescent="0.25">
      <c r="B9" s="4"/>
      <c r="E9" s="48"/>
      <c r="F9" s="48"/>
      <c r="H9" s="48"/>
      <c r="I9" s="48"/>
    </row>
    <row r="10" spans="2:9" x14ac:dyDescent="0.25">
      <c r="B10" s="4"/>
    </row>
    <row r="11" spans="2:9" x14ac:dyDescent="0.25">
      <c r="B11" s="4"/>
    </row>
    <row r="12" spans="2:9" x14ac:dyDescent="0.25">
      <c r="B12" s="4"/>
    </row>
    <row r="13" spans="2:9" x14ac:dyDescent="0.25">
      <c r="B13" s="4"/>
    </row>
    <row r="14" spans="2:9" x14ac:dyDescent="0.25">
      <c r="B14" s="4"/>
    </row>
    <row r="15" spans="2:9" x14ac:dyDescent="0.25">
      <c r="B15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tRegresar">
          <controlPr defaultSize="0" autoLine="0" autoPict="0" r:id="rId4">
            <anchor moveWithCells="1">
              <from>
                <xdr:col>4</xdr:col>
                <xdr:colOff>504825</xdr:colOff>
                <xdr:row>1</xdr:row>
                <xdr:rowOff>28575</xdr:rowOff>
              </from>
              <to>
                <xdr:col>6</xdr:col>
                <xdr:colOff>514350</xdr:colOff>
                <xdr:row>3</xdr:row>
                <xdr:rowOff>9525</xdr:rowOff>
              </to>
            </anchor>
          </controlPr>
        </control>
      </mc:Choice>
      <mc:Fallback>
        <control shapeId="4097" r:id="rId3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B3:J24"/>
  <sheetViews>
    <sheetView workbookViewId="0">
      <selection activeCell="M14" sqref="M14"/>
    </sheetView>
  </sheetViews>
  <sheetFormatPr baseColWidth="10" defaultRowHeight="15" x14ac:dyDescent="0.25"/>
  <cols>
    <col min="1" max="1" width="6.28515625" customWidth="1"/>
    <col min="3" max="3" width="5.7109375" customWidth="1"/>
    <col min="4" max="4" width="17" customWidth="1"/>
    <col min="7" max="7" width="14.85546875" customWidth="1"/>
  </cols>
  <sheetData>
    <row r="3" spans="2:10" ht="15.75" thickBot="1" x14ac:dyDescent="0.3"/>
    <row r="4" spans="2:10" ht="15.75" thickBot="1" x14ac:dyDescent="0.3">
      <c r="B4" s="17" t="s">
        <v>101</v>
      </c>
      <c r="D4" s="17" t="s">
        <v>102</v>
      </c>
      <c r="E4" s="17" t="s">
        <v>103</v>
      </c>
      <c r="G4" s="86" t="s">
        <v>104</v>
      </c>
      <c r="H4" s="87"/>
      <c r="I4" s="87"/>
      <c r="J4" s="88"/>
    </row>
    <row r="5" spans="2:10" ht="15.75" hidden="1" thickBot="1" x14ac:dyDescent="0.3"/>
    <row r="6" spans="2:10" x14ac:dyDescent="0.25">
      <c r="B6">
        <v>-530</v>
      </c>
      <c r="D6">
        <v>-500</v>
      </c>
      <c r="G6" s="49">
        <v>-380</v>
      </c>
      <c r="H6" s="49">
        <v>-237</v>
      </c>
      <c r="I6" s="49">
        <v>-220</v>
      </c>
      <c r="J6" s="49">
        <v>-220</v>
      </c>
    </row>
    <row r="7" spans="2:10" x14ac:dyDescent="0.25">
      <c r="D7">
        <v>-415</v>
      </c>
      <c r="G7" s="50">
        <v>-150</v>
      </c>
      <c r="H7" s="50">
        <v>-153</v>
      </c>
      <c r="I7" s="50">
        <v>-200</v>
      </c>
      <c r="J7" s="50">
        <v>-200</v>
      </c>
    </row>
    <row r="8" spans="2:10" x14ac:dyDescent="0.25">
      <c r="D8">
        <v>-380</v>
      </c>
      <c r="G8" s="50"/>
      <c r="H8" s="50">
        <v>-140</v>
      </c>
      <c r="I8" s="50">
        <v>-110</v>
      </c>
      <c r="J8" s="50">
        <v>-110</v>
      </c>
    </row>
    <row r="9" spans="2:10" x14ac:dyDescent="0.25">
      <c r="D9">
        <v>-343.5</v>
      </c>
      <c r="G9" s="50"/>
      <c r="H9" s="50"/>
      <c r="I9" s="50"/>
      <c r="J9" s="50"/>
    </row>
    <row r="10" spans="2:10" x14ac:dyDescent="0.25">
      <c r="D10">
        <v>-311.52</v>
      </c>
      <c r="G10" s="50"/>
      <c r="H10" s="50"/>
      <c r="I10" s="50"/>
      <c r="J10" s="50"/>
    </row>
    <row r="11" spans="2:10" x14ac:dyDescent="0.25">
      <c r="D11">
        <v>-237</v>
      </c>
      <c r="G11" s="50"/>
      <c r="H11" s="50"/>
      <c r="I11" s="50"/>
      <c r="J11" s="50"/>
    </row>
    <row r="12" spans="2:10" x14ac:dyDescent="0.25">
      <c r="D12">
        <v>-220</v>
      </c>
      <c r="E12">
        <v>3</v>
      </c>
      <c r="G12" s="50"/>
      <c r="H12" s="50"/>
      <c r="I12" s="50"/>
      <c r="J12" s="50"/>
    </row>
    <row r="13" spans="2:10" ht="15.75" thickBot="1" x14ac:dyDescent="0.3">
      <c r="D13">
        <v>-200</v>
      </c>
      <c r="E13">
        <v>3</v>
      </c>
      <c r="G13" s="51"/>
      <c r="H13" s="51"/>
      <c r="I13" s="51"/>
      <c r="J13" s="51"/>
    </row>
    <row r="14" spans="2:10" x14ac:dyDescent="0.25">
      <c r="D14">
        <v>-200</v>
      </c>
    </row>
    <row r="15" spans="2:10" x14ac:dyDescent="0.25">
      <c r="D15">
        <v>-170.55</v>
      </c>
    </row>
    <row r="16" spans="2:10" x14ac:dyDescent="0.25">
      <c r="D16">
        <v>-153</v>
      </c>
    </row>
    <row r="17" spans="4:5" x14ac:dyDescent="0.25">
      <c r="D17">
        <v>-150</v>
      </c>
    </row>
    <row r="18" spans="4:5" x14ac:dyDescent="0.25">
      <c r="D18">
        <v>-149.9</v>
      </c>
    </row>
    <row r="19" spans="4:5" x14ac:dyDescent="0.25">
      <c r="D19">
        <v>-140</v>
      </c>
    </row>
    <row r="20" spans="4:5" x14ac:dyDescent="0.25">
      <c r="D20">
        <v>-126</v>
      </c>
    </row>
    <row r="21" spans="4:5" x14ac:dyDescent="0.25">
      <c r="D21">
        <v>-110</v>
      </c>
      <c r="E21">
        <v>3</v>
      </c>
    </row>
    <row r="22" spans="4:5" x14ac:dyDescent="0.25">
      <c r="D22">
        <v>-100</v>
      </c>
    </row>
    <row r="23" spans="4:5" x14ac:dyDescent="0.25">
      <c r="D23">
        <v>-68</v>
      </c>
    </row>
    <row r="24" spans="4:5" x14ac:dyDescent="0.25">
      <c r="D24">
        <v>-3.5</v>
      </c>
    </row>
  </sheetData>
  <mergeCells count="1">
    <mergeCell ref="G4:J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9" r:id="rId3" name="btRegresar">
          <controlPr defaultSize="0" autoLine="0" r:id="rId4">
            <anchor moveWithCells="1">
              <from>
                <xdr:col>8</xdr:col>
                <xdr:colOff>247650</xdr:colOff>
                <xdr:row>0</xdr:row>
                <xdr:rowOff>104775</xdr:rowOff>
              </from>
              <to>
                <xdr:col>9</xdr:col>
                <xdr:colOff>457200</xdr:colOff>
                <xdr:row>2</xdr:row>
                <xdr:rowOff>76200</xdr:rowOff>
              </to>
            </anchor>
          </controlPr>
        </control>
      </mc:Choice>
      <mc:Fallback>
        <control shapeId="14339" r:id="rId3" name="btRegresar"/>
      </mc:Fallback>
    </mc:AlternateContent>
    <mc:AlternateContent xmlns:mc="http://schemas.openxmlformats.org/markup-compatibility/2006">
      <mc:Choice Requires="x14">
        <control shapeId="14338" r:id="rId5" name="cmbAlternativas">
          <controlPr defaultSize="0" autoLine="0" r:id="rId6">
            <anchor moveWithCells="1">
              <from>
                <xdr:col>3</xdr:col>
                <xdr:colOff>76200</xdr:colOff>
                <xdr:row>0</xdr:row>
                <xdr:rowOff>161925</xdr:rowOff>
              </from>
              <to>
                <xdr:col>6</xdr:col>
                <xdr:colOff>371475</xdr:colOff>
                <xdr:row>2</xdr:row>
                <xdr:rowOff>47625</xdr:rowOff>
              </to>
            </anchor>
          </controlPr>
        </control>
      </mc:Choice>
      <mc:Fallback>
        <control shapeId="14338" r:id="rId5" name="cmbAlternativas"/>
      </mc:Fallback>
    </mc:AlternateContent>
    <mc:AlternateContent xmlns:mc="http://schemas.openxmlformats.org/markup-compatibility/2006">
      <mc:Choice Requires="x14">
        <control shapeId="14337" r:id="rId7" name="btBuscarSuma">
          <controlPr autoLine="0" r:id="rId8">
            <anchor moveWithCells="1">
              <from>
                <xdr:col>1</xdr:col>
                <xdr:colOff>9525</xdr:colOff>
                <xdr:row>0</xdr:row>
                <xdr:rowOff>161925</xdr:rowOff>
              </from>
              <to>
                <xdr:col>2</xdr:col>
                <xdr:colOff>28575</xdr:colOff>
                <xdr:row>2</xdr:row>
                <xdr:rowOff>85725</xdr:rowOff>
              </to>
            </anchor>
          </controlPr>
        </control>
      </mc:Choice>
      <mc:Fallback>
        <control shapeId="14337" r:id="rId7" name="btBuscarSum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/>
  <dimension ref="A1:F35"/>
  <sheetViews>
    <sheetView topLeftCell="A22" workbookViewId="0">
      <selection activeCell="C4" sqref="C4"/>
    </sheetView>
  </sheetViews>
  <sheetFormatPr baseColWidth="10" defaultRowHeight="15" x14ac:dyDescent="0.25"/>
  <cols>
    <col min="1" max="1" width="16.140625" customWidth="1"/>
    <col min="2" max="2" width="25" customWidth="1"/>
    <col min="3" max="3" width="23.7109375" style="11" customWidth="1"/>
  </cols>
  <sheetData>
    <row r="1" spans="1:3" x14ac:dyDescent="0.25">
      <c r="A1" t="s">
        <v>12</v>
      </c>
      <c r="B1" t="s">
        <v>77</v>
      </c>
      <c r="C1" s="11" t="s">
        <v>98</v>
      </c>
    </row>
    <row r="2" spans="1:3" x14ac:dyDescent="0.25">
      <c r="A2">
        <v>1</v>
      </c>
      <c r="B2" t="s">
        <v>62</v>
      </c>
      <c r="C2" s="11">
        <v>2826339.47</v>
      </c>
    </row>
    <row r="3" spans="1:3" x14ac:dyDescent="0.25">
      <c r="A3">
        <v>2</v>
      </c>
      <c r="B3" t="s">
        <v>61</v>
      </c>
      <c r="C3" s="11">
        <v>5056391.1399999997</v>
      </c>
    </row>
    <row r="4" spans="1:3" x14ac:dyDescent="0.25">
      <c r="A4">
        <v>3</v>
      </c>
      <c r="B4" t="s">
        <v>64</v>
      </c>
      <c r="C4" s="11">
        <v>8662516.1699999999</v>
      </c>
    </row>
    <row r="5" spans="1:3" x14ac:dyDescent="0.25">
      <c r="A5">
        <v>4</v>
      </c>
      <c r="B5" t="s">
        <v>63</v>
      </c>
      <c r="C5" s="11">
        <v>133986.44</v>
      </c>
    </row>
    <row r="6" spans="1:3" x14ac:dyDescent="0.25">
      <c r="A6">
        <v>5</v>
      </c>
      <c r="B6" t="s">
        <v>65</v>
      </c>
      <c r="C6" s="11">
        <v>106819.33</v>
      </c>
    </row>
    <row r="7" spans="1:3" x14ac:dyDescent="0.25">
      <c r="A7">
        <v>6</v>
      </c>
      <c r="B7" t="s">
        <v>66</v>
      </c>
      <c r="C7" s="11">
        <v>1167218.24</v>
      </c>
    </row>
    <row r="8" spans="1:3" x14ac:dyDescent="0.25">
      <c r="A8">
        <v>7</v>
      </c>
      <c r="B8" t="s">
        <v>18</v>
      </c>
      <c r="C8" s="11">
        <v>421001.91</v>
      </c>
    </row>
    <row r="9" spans="1:3" x14ac:dyDescent="0.25">
      <c r="A9">
        <v>8</v>
      </c>
      <c r="B9" t="s">
        <v>19</v>
      </c>
      <c r="C9" s="11">
        <v>9787522.2400000002</v>
      </c>
    </row>
    <row r="10" spans="1:3" x14ac:dyDescent="0.25">
      <c r="A10">
        <v>9</v>
      </c>
      <c r="B10" t="s">
        <v>44</v>
      </c>
      <c r="C10" s="11">
        <v>506683.89</v>
      </c>
    </row>
    <row r="11" spans="1:3" x14ac:dyDescent="0.25">
      <c r="A11">
        <v>10</v>
      </c>
      <c r="B11" t="s">
        <v>20</v>
      </c>
      <c r="C11" s="11">
        <v>1059677.6499999999</v>
      </c>
    </row>
    <row r="12" spans="1:3" x14ac:dyDescent="0.25">
      <c r="A12">
        <v>11</v>
      </c>
      <c r="B12" t="s">
        <v>45</v>
      </c>
      <c r="C12" s="11">
        <v>319538</v>
      </c>
    </row>
    <row r="13" spans="1:3" x14ac:dyDescent="0.25">
      <c r="A13">
        <v>12</v>
      </c>
      <c r="B13" t="s">
        <v>46</v>
      </c>
      <c r="C13" s="11">
        <v>325698.62</v>
      </c>
    </row>
    <row r="14" spans="1:3" x14ac:dyDescent="0.25">
      <c r="A14">
        <v>13</v>
      </c>
      <c r="B14" t="s">
        <v>21</v>
      </c>
      <c r="C14" s="11">
        <v>1077270.6599999999</v>
      </c>
    </row>
    <row r="15" spans="1:3" x14ac:dyDescent="0.25">
      <c r="A15">
        <v>14</v>
      </c>
      <c r="B15" t="s">
        <v>47</v>
      </c>
      <c r="C15" s="11">
        <v>461670.93</v>
      </c>
    </row>
    <row r="16" spans="1:3" x14ac:dyDescent="0.25">
      <c r="A16">
        <v>15</v>
      </c>
      <c r="B16" t="s">
        <v>23</v>
      </c>
      <c r="C16" s="11">
        <v>168122.43</v>
      </c>
    </row>
    <row r="17" spans="1:6" x14ac:dyDescent="0.25">
      <c r="A17">
        <v>16</v>
      </c>
      <c r="B17" t="s">
        <v>48</v>
      </c>
      <c r="C17" s="11">
        <v>10841.36</v>
      </c>
    </row>
    <row r="18" spans="1:6" x14ac:dyDescent="0.25">
      <c r="A18">
        <v>17</v>
      </c>
      <c r="B18" t="s">
        <v>24</v>
      </c>
      <c r="C18" s="11">
        <v>21061564.93</v>
      </c>
    </row>
    <row r="19" spans="1:6" x14ac:dyDescent="0.25">
      <c r="A19">
        <v>18</v>
      </c>
      <c r="B19" t="s">
        <v>49</v>
      </c>
      <c r="C19" s="11">
        <v>3205654.25</v>
      </c>
    </row>
    <row r="20" spans="1:6" x14ac:dyDescent="0.25">
      <c r="A20">
        <v>19</v>
      </c>
      <c r="B20" t="s">
        <v>26</v>
      </c>
      <c r="C20" s="11">
        <v>851440.39</v>
      </c>
    </row>
    <row r="21" spans="1:6" x14ac:dyDescent="0.25">
      <c r="A21">
        <v>20</v>
      </c>
      <c r="B21" t="s">
        <v>50</v>
      </c>
      <c r="C21" s="11">
        <v>312135.09000000003</v>
      </c>
    </row>
    <row r="22" spans="1:6" x14ac:dyDescent="0.25">
      <c r="A22">
        <v>21</v>
      </c>
      <c r="B22" t="s">
        <v>68</v>
      </c>
      <c r="C22" s="11">
        <v>11082.22</v>
      </c>
    </row>
    <row r="23" spans="1:6" x14ac:dyDescent="0.25">
      <c r="A23">
        <v>22</v>
      </c>
      <c r="B23" t="s">
        <v>51</v>
      </c>
      <c r="C23" s="11">
        <v>13683.51</v>
      </c>
    </row>
    <row r="24" spans="1:6" x14ac:dyDescent="0.25">
      <c r="A24">
        <v>23</v>
      </c>
      <c r="B24" t="s">
        <v>28</v>
      </c>
      <c r="C24" s="11">
        <v>418701.81</v>
      </c>
    </row>
    <row r="25" spans="1:6" x14ac:dyDescent="0.25">
      <c r="A25">
        <v>24</v>
      </c>
      <c r="B25" t="s">
        <v>69</v>
      </c>
      <c r="C25" s="11">
        <v>655029.4</v>
      </c>
      <c r="F25" s="7"/>
    </row>
    <row r="26" spans="1:6" x14ac:dyDescent="0.25">
      <c r="A26">
        <v>25</v>
      </c>
      <c r="B26" t="s">
        <v>72</v>
      </c>
      <c r="C26" s="11">
        <v>523925.78</v>
      </c>
    </row>
    <row r="27" spans="1:6" x14ac:dyDescent="0.25">
      <c r="A27">
        <v>26</v>
      </c>
      <c r="B27" t="s">
        <v>52</v>
      </c>
      <c r="C27" s="11">
        <v>28992.87</v>
      </c>
    </row>
    <row r="28" spans="1:6" x14ac:dyDescent="0.25">
      <c r="A28">
        <v>27</v>
      </c>
      <c r="B28" t="s">
        <v>53</v>
      </c>
      <c r="C28" s="11">
        <v>24365383.09</v>
      </c>
    </row>
    <row r="29" spans="1:6" x14ac:dyDescent="0.25">
      <c r="A29">
        <v>28</v>
      </c>
      <c r="B29" t="s">
        <v>73</v>
      </c>
      <c r="C29" s="11">
        <v>2173914.02</v>
      </c>
    </row>
    <row r="30" spans="1:6" x14ac:dyDescent="0.25">
      <c r="A30">
        <v>30</v>
      </c>
      <c r="B30" t="s">
        <v>30</v>
      </c>
      <c r="C30" s="11">
        <v>437489.16</v>
      </c>
    </row>
    <row r="31" spans="1:6" x14ac:dyDescent="0.25">
      <c r="A31">
        <v>31</v>
      </c>
      <c r="B31" t="s">
        <v>54</v>
      </c>
      <c r="C31" s="11">
        <v>480868.47</v>
      </c>
    </row>
    <row r="32" spans="1:6" x14ac:dyDescent="0.25">
      <c r="A32">
        <v>34</v>
      </c>
      <c r="B32" t="s">
        <v>55</v>
      </c>
      <c r="C32" s="11">
        <v>146.86000000000001</v>
      </c>
    </row>
    <row r="33" spans="1:3" x14ac:dyDescent="0.25">
      <c r="A33">
        <v>35</v>
      </c>
      <c r="B33" t="s">
        <v>31</v>
      </c>
      <c r="C33" s="11">
        <v>23679.35</v>
      </c>
    </row>
    <row r="34" spans="1:3" x14ac:dyDescent="0.25">
      <c r="A34">
        <v>36</v>
      </c>
      <c r="B34" t="s">
        <v>71</v>
      </c>
      <c r="C34" s="11">
        <v>401675.15</v>
      </c>
    </row>
    <row r="35" spans="1:3" x14ac:dyDescent="0.25">
      <c r="A35">
        <v>37</v>
      </c>
      <c r="B35" t="s">
        <v>70</v>
      </c>
      <c r="C35" s="11">
        <v>197083.45</v>
      </c>
    </row>
  </sheetData>
  <pageMargins left="0.7" right="0.7" top="0.75" bottom="0.75" header="0.3" footer="0.3"/>
  <pageSetup paperSize="9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1"/>
  <dimension ref="B1:L107"/>
  <sheetViews>
    <sheetView topLeftCell="A82" workbookViewId="0">
      <selection activeCell="I89" sqref="I89"/>
    </sheetView>
  </sheetViews>
  <sheetFormatPr baseColWidth="10" defaultRowHeight="15" x14ac:dyDescent="0.25"/>
  <cols>
    <col min="2" max="2" width="12.5703125" style="11" bestFit="1" customWidth="1"/>
    <col min="3" max="3" width="11.42578125" style="11"/>
    <col min="4" max="4" width="12.5703125" style="11" bestFit="1" customWidth="1"/>
    <col min="7" max="7" width="12.5703125" style="11" bestFit="1" customWidth="1"/>
    <col min="8" max="8" width="11.42578125" style="11" hidden="1" customWidth="1"/>
    <col min="9" max="9" width="13.5703125" style="11" customWidth="1"/>
  </cols>
  <sheetData>
    <row r="1" spans="2:11" ht="15.75" x14ac:dyDescent="0.25">
      <c r="G1" s="89" t="s">
        <v>105</v>
      </c>
      <c r="H1" s="89"/>
      <c r="I1" s="89"/>
    </row>
    <row r="2" spans="2:11" ht="15.75" x14ac:dyDescent="0.25">
      <c r="B2" s="52" t="s">
        <v>106</v>
      </c>
      <c r="D2" s="52" t="s">
        <v>107</v>
      </c>
      <c r="G2" s="52" t="s">
        <v>106</v>
      </c>
      <c r="H2" s="52"/>
      <c r="I2" s="52" t="s">
        <v>107</v>
      </c>
    </row>
    <row r="3" spans="2:11" hidden="1" x14ac:dyDescent="0.25"/>
    <row r="4" spans="2:11" x14ac:dyDescent="0.25">
      <c r="B4">
        <v>-70</v>
      </c>
      <c r="D4" s="56">
        <v>-88</v>
      </c>
      <c r="G4" s="11">
        <v>1500000</v>
      </c>
      <c r="I4" s="11">
        <v>1500000</v>
      </c>
    </row>
    <row r="5" spans="2:11" x14ac:dyDescent="0.25">
      <c r="B5">
        <v>-489.81</v>
      </c>
      <c r="D5" s="55">
        <v>-1245985.76</v>
      </c>
      <c r="I5" s="11">
        <v>12177.56</v>
      </c>
    </row>
    <row r="6" spans="2:11" x14ac:dyDescent="0.25">
      <c r="B6">
        <v>-30000</v>
      </c>
      <c r="D6" s="55">
        <v>-112789.75</v>
      </c>
      <c r="I6" s="11">
        <v>12177.56</v>
      </c>
    </row>
    <row r="7" spans="2:11" x14ac:dyDescent="0.25">
      <c r="B7">
        <v>-100</v>
      </c>
      <c r="D7" s="55">
        <v>-100903.31</v>
      </c>
      <c r="I7" s="11">
        <v>1039</v>
      </c>
    </row>
    <row r="8" spans="2:11" x14ac:dyDescent="0.25">
      <c r="B8">
        <v>-185.9</v>
      </c>
      <c r="D8" s="55">
        <v>-76303.95</v>
      </c>
      <c r="G8" s="11">
        <v>500</v>
      </c>
    </row>
    <row r="9" spans="2:11" x14ac:dyDescent="0.25">
      <c r="B9">
        <v>-2500</v>
      </c>
      <c r="D9" s="56">
        <v>-59637.17</v>
      </c>
      <c r="I9" s="11">
        <v>200</v>
      </c>
    </row>
    <row r="10" spans="2:11" x14ac:dyDescent="0.25">
      <c r="B10">
        <v>-100</v>
      </c>
      <c r="D10" s="56">
        <v>-32268.71</v>
      </c>
      <c r="I10" s="11">
        <v>158</v>
      </c>
    </row>
    <row r="11" spans="2:11" x14ac:dyDescent="0.25">
      <c r="B11">
        <v>-6811.5</v>
      </c>
      <c r="D11" s="56">
        <v>-22050</v>
      </c>
      <c r="G11" s="11">
        <v>-12.5</v>
      </c>
    </row>
    <row r="12" spans="2:11" x14ac:dyDescent="0.25">
      <c r="B12">
        <v>-180</v>
      </c>
      <c r="D12" s="56">
        <v>-15925.56</v>
      </c>
      <c r="G12" s="11">
        <v>-16</v>
      </c>
      <c r="I12" s="11">
        <v>-16</v>
      </c>
      <c r="K12" s="7"/>
    </row>
    <row r="13" spans="2:11" x14ac:dyDescent="0.25">
      <c r="B13">
        <v>-997.74</v>
      </c>
      <c r="D13" s="56">
        <v>-15000</v>
      </c>
      <c r="G13" s="11">
        <v>-20</v>
      </c>
    </row>
    <row r="14" spans="2:11" x14ac:dyDescent="0.25">
      <c r="B14">
        <v>-548</v>
      </c>
      <c r="D14" s="56">
        <v>-14642.66</v>
      </c>
      <c r="G14" s="11">
        <v>-30</v>
      </c>
    </row>
    <row r="15" spans="2:11" x14ac:dyDescent="0.25">
      <c r="B15">
        <v>-48696.2</v>
      </c>
      <c r="D15" s="55">
        <v>-12212.89</v>
      </c>
      <c r="G15" s="11">
        <v>-45</v>
      </c>
      <c r="I15" s="11">
        <v>-45</v>
      </c>
    </row>
    <row r="16" spans="2:11" x14ac:dyDescent="0.25">
      <c r="B16">
        <v>-7000</v>
      </c>
      <c r="D16" s="56">
        <v>-12177.56</v>
      </c>
      <c r="G16" s="11">
        <v>-50</v>
      </c>
      <c r="I16" s="11">
        <v>-50</v>
      </c>
    </row>
    <row r="17" spans="2:12" x14ac:dyDescent="0.25">
      <c r="B17">
        <v>-1813.47</v>
      </c>
      <c r="D17" s="56">
        <v>-11319</v>
      </c>
      <c r="G17" s="11">
        <v>-50</v>
      </c>
    </row>
    <row r="18" spans="2:12" x14ac:dyDescent="0.25">
      <c r="B18">
        <v>-1579.5</v>
      </c>
      <c r="D18" s="55">
        <v>-9700</v>
      </c>
      <c r="G18" s="11">
        <v>-53</v>
      </c>
    </row>
    <row r="19" spans="2:12" x14ac:dyDescent="0.25">
      <c r="B19">
        <v>-2933.18</v>
      </c>
      <c r="D19" s="55">
        <v>-9155</v>
      </c>
      <c r="G19" s="11">
        <v>-53</v>
      </c>
    </row>
    <row r="20" spans="2:12" x14ac:dyDescent="0.25">
      <c r="B20">
        <v>-955.01</v>
      </c>
      <c r="D20" s="56">
        <v>-7091.5</v>
      </c>
      <c r="G20" s="11">
        <v>-55.5</v>
      </c>
      <c r="I20" s="11">
        <v>-55.5</v>
      </c>
    </row>
    <row r="21" spans="2:12" x14ac:dyDescent="0.25">
      <c r="B21">
        <v>-1500</v>
      </c>
      <c r="D21" s="55">
        <v>-4569.5</v>
      </c>
      <c r="G21" s="11">
        <v>-61</v>
      </c>
      <c r="I21" s="11">
        <v>-61</v>
      </c>
      <c r="K21" s="7"/>
    </row>
    <row r="22" spans="2:12" x14ac:dyDescent="0.25">
      <c r="B22">
        <v>-1158</v>
      </c>
      <c r="D22" s="56">
        <v>-3203.3</v>
      </c>
      <c r="G22" s="11">
        <v>-61</v>
      </c>
    </row>
    <row r="23" spans="2:12" x14ac:dyDescent="0.25">
      <c r="B23">
        <v>-144</v>
      </c>
      <c r="D23" s="56">
        <v>-2500</v>
      </c>
      <c r="G23" s="11">
        <v>-68.5</v>
      </c>
    </row>
    <row r="24" spans="2:12" x14ac:dyDescent="0.25">
      <c r="B24">
        <v>-2666.7</v>
      </c>
      <c r="D24" s="55">
        <v>-1500</v>
      </c>
      <c r="G24" s="11">
        <v>-70</v>
      </c>
      <c r="I24" s="11">
        <v>-70</v>
      </c>
    </row>
    <row r="25" spans="2:12" x14ac:dyDescent="0.25">
      <c r="B25">
        <v>-3000</v>
      </c>
      <c r="D25" s="56">
        <v>-997.74</v>
      </c>
      <c r="G25" s="11">
        <v>-88</v>
      </c>
      <c r="I25" s="11">
        <v>-88</v>
      </c>
      <c r="L25" s="7"/>
    </row>
    <row r="26" spans="2:12" x14ac:dyDescent="0.25">
      <c r="B26">
        <v>-500</v>
      </c>
      <c r="D26" s="56">
        <v>-647</v>
      </c>
      <c r="G26" s="11">
        <v>-100</v>
      </c>
    </row>
    <row r="27" spans="2:12" x14ac:dyDescent="0.25">
      <c r="B27">
        <v>-7040</v>
      </c>
      <c r="D27" s="56">
        <v>-539</v>
      </c>
      <c r="G27" s="11">
        <v>-100</v>
      </c>
    </row>
    <row r="28" spans="2:12" x14ac:dyDescent="0.25">
      <c r="B28">
        <v>-330</v>
      </c>
      <c r="D28" s="55">
        <v>-512</v>
      </c>
      <c r="I28" s="11">
        <v>-106</v>
      </c>
    </row>
    <row r="29" spans="2:12" x14ac:dyDescent="0.25">
      <c r="B29">
        <v>-50</v>
      </c>
      <c r="D29" s="55">
        <v>-500</v>
      </c>
      <c r="G29" s="11">
        <v>-110</v>
      </c>
    </row>
    <row r="30" spans="2:12" x14ac:dyDescent="0.25">
      <c r="B30">
        <v>-500</v>
      </c>
      <c r="D30" s="56">
        <v>-420</v>
      </c>
      <c r="G30" s="11">
        <v>-144</v>
      </c>
      <c r="I30" s="11">
        <v>-144</v>
      </c>
      <c r="K30" s="7"/>
    </row>
    <row r="31" spans="2:12" x14ac:dyDescent="0.25">
      <c r="B31">
        <v>-1300</v>
      </c>
      <c r="D31" s="56">
        <v>-300</v>
      </c>
      <c r="G31" s="11">
        <v>-147</v>
      </c>
    </row>
    <row r="32" spans="2:12" x14ac:dyDescent="0.25">
      <c r="B32">
        <v>-110</v>
      </c>
      <c r="D32" s="56">
        <v>-200</v>
      </c>
      <c r="I32" s="11">
        <v>-158</v>
      </c>
    </row>
    <row r="33" spans="2:9" x14ac:dyDescent="0.25">
      <c r="B33">
        <v>-1500</v>
      </c>
      <c r="D33" s="56">
        <v>-200</v>
      </c>
      <c r="G33" s="11">
        <v>-175</v>
      </c>
    </row>
    <row r="34" spans="2:9" x14ac:dyDescent="0.25">
      <c r="B34">
        <v>-40000</v>
      </c>
      <c r="D34" s="55">
        <v>-158</v>
      </c>
      <c r="G34" s="11">
        <v>-180</v>
      </c>
    </row>
    <row r="35" spans="2:9" x14ac:dyDescent="0.25">
      <c r="B35">
        <v>-512</v>
      </c>
      <c r="D35" s="55">
        <v>-144</v>
      </c>
      <c r="G35" s="11">
        <v>-185.9</v>
      </c>
    </row>
    <row r="36" spans="2:9" x14ac:dyDescent="0.25">
      <c r="B36">
        <v>-647</v>
      </c>
      <c r="D36" s="55">
        <v>-106</v>
      </c>
      <c r="G36" s="11">
        <v>-200</v>
      </c>
      <c r="I36" s="11">
        <v>-200</v>
      </c>
    </row>
    <row r="37" spans="2:9" x14ac:dyDescent="0.25">
      <c r="B37">
        <v>-300</v>
      </c>
      <c r="D37" s="55">
        <v>-70</v>
      </c>
      <c r="G37" s="11">
        <v>-200</v>
      </c>
      <c r="I37" s="11">
        <v>-200</v>
      </c>
    </row>
    <row r="38" spans="2:9" x14ac:dyDescent="0.25">
      <c r="B38">
        <v>-526.5</v>
      </c>
      <c r="D38" s="56">
        <v>-61</v>
      </c>
      <c r="G38" s="11">
        <v>-200</v>
      </c>
    </row>
    <row r="39" spans="2:9" x14ac:dyDescent="0.25">
      <c r="B39">
        <v>-1798</v>
      </c>
      <c r="D39" s="55">
        <v>-55.5</v>
      </c>
      <c r="G39" s="11">
        <v>-300</v>
      </c>
      <c r="I39" s="11">
        <v>-300</v>
      </c>
    </row>
    <row r="40" spans="2:9" x14ac:dyDescent="0.25">
      <c r="B40">
        <v>-30</v>
      </c>
      <c r="D40" s="56">
        <v>-50</v>
      </c>
      <c r="G40" s="11">
        <v>-330</v>
      </c>
    </row>
    <row r="41" spans="2:9" x14ac:dyDescent="0.25">
      <c r="B41">
        <v>-400</v>
      </c>
      <c r="D41" s="55">
        <v>-45</v>
      </c>
      <c r="G41" s="11">
        <v>-365</v>
      </c>
    </row>
    <row r="42" spans="2:9" x14ac:dyDescent="0.25">
      <c r="B42">
        <v>-3203.3</v>
      </c>
      <c r="D42" s="55">
        <v>-16</v>
      </c>
      <c r="G42" s="11">
        <v>-400</v>
      </c>
    </row>
    <row r="43" spans="2:9" x14ac:dyDescent="0.25">
      <c r="B43">
        <v>-51448.81</v>
      </c>
      <c r="D43" s="55">
        <v>1500000</v>
      </c>
      <c r="G43" s="11">
        <v>-420</v>
      </c>
      <c r="I43" s="11">
        <v>-420</v>
      </c>
    </row>
    <row r="44" spans="2:9" x14ac:dyDescent="0.25">
      <c r="B44">
        <v>-200</v>
      </c>
      <c r="D44" s="56">
        <v>12177.56</v>
      </c>
      <c r="G44" s="11">
        <v>-460</v>
      </c>
    </row>
    <row r="45" spans="2:9" x14ac:dyDescent="0.25">
      <c r="B45">
        <v>-6500</v>
      </c>
      <c r="D45" s="56">
        <v>12177.56</v>
      </c>
      <c r="G45" s="11">
        <v>-489.81</v>
      </c>
    </row>
    <row r="46" spans="2:9" x14ac:dyDescent="0.25">
      <c r="B46">
        <v>-200</v>
      </c>
      <c r="D46" s="56">
        <v>1039</v>
      </c>
      <c r="G46" s="11">
        <v>-500</v>
      </c>
      <c r="I46" s="11">
        <v>-500</v>
      </c>
    </row>
    <row r="47" spans="2:9" x14ac:dyDescent="0.25">
      <c r="B47" s="19">
        <v>-16</v>
      </c>
      <c r="D47" s="55">
        <v>200</v>
      </c>
      <c r="G47" s="11">
        <v>-500</v>
      </c>
    </row>
    <row r="48" spans="2:9" x14ac:dyDescent="0.25">
      <c r="B48">
        <v>-1500</v>
      </c>
      <c r="D48" s="56">
        <v>158</v>
      </c>
      <c r="G48" s="11">
        <v>-512</v>
      </c>
      <c r="I48" s="11">
        <v>-512</v>
      </c>
    </row>
    <row r="49" spans="2:11" x14ac:dyDescent="0.25">
      <c r="B49">
        <v>-420</v>
      </c>
      <c r="D49" s="55"/>
      <c r="G49" s="11">
        <v>-526.5</v>
      </c>
    </row>
    <row r="50" spans="2:11" x14ac:dyDescent="0.25">
      <c r="B50">
        <v>500</v>
      </c>
      <c r="D50" s="55"/>
      <c r="G50" s="11">
        <v>-539</v>
      </c>
      <c r="I50" s="11">
        <v>-539</v>
      </c>
    </row>
    <row r="51" spans="2:11" x14ac:dyDescent="0.25">
      <c r="B51">
        <v>-8000</v>
      </c>
      <c r="D51" s="56"/>
      <c r="G51" s="11">
        <v>-548</v>
      </c>
    </row>
    <row r="52" spans="2:11" x14ac:dyDescent="0.25">
      <c r="B52">
        <v>-200</v>
      </c>
      <c r="D52" s="56"/>
      <c r="G52" s="11">
        <v>-600</v>
      </c>
    </row>
    <row r="53" spans="2:11" x14ac:dyDescent="0.25">
      <c r="B53">
        <v>-53</v>
      </c>
      <c r="D53" s="56"/>
      <c r="G53" s="11">
        <v>-647</v>
      </c>
      <c r="I53" s="11">
        <v>-647</v>
      </c>
      <c r="K53" s="7"/>
    </row>
    <row r="54" spans="2:11" x14ac:dyDescent="0.25">
      <c r="B54">
        <v>-53</v>
      </c>
      <c r="D54" s="56"/>
      <c r="G54" s="11">
        <v>-700</v>
      </c>
    </row>
    <row r="55" spans="2:11" x14ac:dyDescent="0.25">
      <c r="B55">
        <v>-13500</v>
      </c>
      <c r="D55" s="56"/>
      <c r="G55" s="11">
        <v>-800</v>
      </c>
    </row>
    <row r="56" spans="2:11" x14ac:dyDescent="0.25">
      <c r="B56">
        <v>-45</v>
      </c>
      <c r="D56" s="55"/>
      <c r="G56" s="11">
        <v>-955.01</v>
      </c>
    </row>
    <row r="57" spans="2:11" x14ac:dyDescent="0.25">
      <c r="B57">
        <v>-61</v>
      </c>
      <c r="D57" s="56"/>
      <c r="G57" s="11">
        <v>-997.74</v>
      </c>
      <c r="I57" s="11">
        <v>-997.74</v>
      </c>
    </row>
    <row r="58" spans="2:11" x14ac:dyDescent="0.25">
      <c r="B58" s="11">
        <v>-61</v>
      </c>
      <c r="D58" s="56"/>
      <c r="G58" s="11">
        <v>-1000</v>
      </c>
    </row>
    <row r="59" spans="2:11" x14ac:dyDescent="0.25">
      <c r="B59" s="11">
        <v>-1081.6600000000001</v>
      </c>
      <c r="D59" s="56"/>
      <c r="G59" s="11">
        <v>-1081.6600000000001</v>
      </c>
    </row>
    <row r="60" spans="2:11" x14ac:dyDescent="0.25">
      <c r="B60" s="11">
        <v>-147</v>
      </c>
      <c r="D60" s="56"/>
      <c r="G60" s="11">
        <v>-1130</v>
      </c>
    </row>
    <row r="61" spans="2:11" x14ac:dyDescent="0.25">
      <c r="B61" s="11">
        <v>-4569.5</v>
      </c>
      <c r="D61" s="56"/>
      <c r="G61" s="11">
        <v>-1158</v>
      </c>
    </row>
    <row r="62" spans="2:11" x14ac:dyDescent="0.25">
      <c r="B62" s="11">
        <v>-700</v>
      </c>
      <c r="D62" s="56"/>
      <c r="G62" s="11">
        <v>-1300</v>
      </c>
    </row>
    <row r="63" spans="2:11" x14ac:dyDescent="0.25">
      <c r="B63" s="11">
        <v>-539</v>
      </c>
      <c r="D63" s="56"/>
      <c r="G63" s="11">
        <v>-1400</v>
      </c>
    </row>
    <row r="64" spans="2:11" x14ac:dyDescent="0.25">
      <c r="B64" s="11">
        <v>-365</v>
      </c>
      <c r="D64" s="56"/>
      <c r="G64" s="11">
        <v>-1406</v>
      </c>
    </row>
    <row r="65" spans="2:11" x14ac:dyDescent="0.25">
      <c r="B65" s="11">
        <v>-1406</v>
      </c>
      <c r="D65" s="56"/>
      <c r="G65" s="11">
        <v>-1500</v>
      </c>
      <c r="I65" s="11">
        <v>-1500</v>
      </c>
    </row>
    <row r="66" spans="2:11" x14ac:dyDescent="0.25">
      <c r="B66" s="11">
        <v>-1130</v>
      </c>
      <c r="D66" s="56"/>
      <c r="G66" s="11">
        <v>-1500</v>
      </c>
      <c r="K66" s="7"/>
    </row>
    <row r="67" spans="2:11" x14ac:dyDescent="0.25">
      <c r="B67" s="11">
        <v>-15000</v>
      </c>
      <c r="D67" s="56"/>
      <c r="G67" s="11">
        <v>-1500</v>
      </c>
    </row>
    <row r="68" spans="2:11" x14ac:dyDescent="0.25">
      <c r="B68" s="11">
        <v>-1500</v>
      </c>
      <c r="D68" s="55"/>
      <c r="G68" s="11">
        <v>-1500</v>
      </c>
    </row>
    <row r="69" spans="2:11" x14ac:dyDescent="0.25">
      <c r="B69" s="11">
        <v>-12177.56</v>
      </c>
      <c r="G69" s="11">
        <v>-1579.5</v>
      </c>
    </row>
    <row r="70" spans="2:11" x14ac:dyDescent="0.25">
      <c r="B70" s="11">
        <v>-1222028.2</v>
      </c>
      <c r="G70" s="11">
        <v>-1798</v>
      </c>
    </row>
    <row r="71" spans="2:11" x14ac:dyDescent="0.25">
      <c r="B71" s="11">
        <v>-460</v>
      </c>
      <c r="G71" s="11">
        <v>-1813.47</v>
      </c>
    </row>
    <row r="72" spans="2:11" x14ac:dyDescent="0.25">
      <c r="B72" s="11">
        <v>-600</v>
      </c>
      <c r="G72" s="11">
        <v>-2500</v>
      </c>
      <c r="I72" s="11">
        <v>-2500</v>
      </c>
    </row>
    <row r="73" spans="2:11" x14ac:dyDescent="0.25">
      <c r="B73" s="11">
        <v>-175</v>
      </c>
      <c r="G73" s="11">
        <v>-2666.7</v>
      </c>
    </row>
    <row r="74" spans="2:11" x14ac:dyDescent="0.25">
      <c r="B74" s="11">
        <v>-10545</v>
      </c>
      <c r="G74" s="11">
        <v>-2933.18</v>
      </c>
    </row>
    <row r="75" spans="2:11" x14ac:dyDescent="0.25">
      <c r="B75" s="11">
        <v>-7755</v>
      </c>
      <c r="G75" s="11">
        <v>-3000</v>
      </c>
    </row>
    <row r="76" spans="2:11" x14ac:dyDescent="0.25">
      <c r="B76" s="11">
        <v>-1400</v>
      </c>
      <c r="G76" s="11">
        <v>-3203.3</v>
      </c>
      <c r="I76" s="11">
        <v>-3203.3</v>
      </c>
    </row>
    <row r="77" spans="2:11" x14ac:dyDescent="0.25">
      <c r="B77" s="11">
        <v>-22000</v>
      </c>
      <c r="G77" s="11">
        <v>-4569.5</v>
      </c>
      <c r="I77" s="11">
        <v>-4569.5</v>
      </c>
    </row>
    <row r="78" spans="2:11" x14ac:dyDescent="0.25">
      <c r="B78" s="11">
        <v>-50</v>
      </c>
      <c r="G78" s="11">
        <v>-6500</v>
      </c>
    </row>
    <row r="79" spans="2:11" x14ac:dyDescent="0.25">
      <c r="B79" s="11">
        <v>1500000</v>
      </c>
      <c r="G79" s="11">
        <v>-6811.5</v>
      </c>
    </row>
    <row r="80" spans="2:11" x14ac:dyDescent="0.25">
      <c r="B80" s="11">
        <v>-20</v>
      </c>
      <c r="G80" s="11">
        <v>-7000</v>
      </c>
    </row>
    <row r="81" spans="2:11" x14ac:dyDescent="0.25">
      <c r="B81" s="11">
        <v>-12.5</v>
      </c>
      <c r="G81" s="11">
        <v>-7040</v>
      </c>
    </row>
    <row r="82" spans="2:11" x14ac:dyDescent="0.25">
      <c r="B82" s="11">
        <v>-800</v>
      </c>
      <c r="I82" s="11">
        <v>-7091.5</v>
      </c>
    </row>
    <row r="83" spans="2:11" x14ac:dyDescent="0.25">
      <c r="B83" s="11">
        <v>-1000</v>
      </c>
      <c r="G83" s="11">
        <v>-7755</v>
      </c>
    </row>
    <row r="84" spans="2:11" x14ac:dyDescent="0.25">
      <c r="B84" s="11">
        <v>-68.5</v>
      </c>
      <c r="G84" s="11">
        <v>-8000</v>
      </c>
    </row>
    <row r="85" spans="2:11" x14ac:dyDescent="0.25">
      <c r="B85" s="11">
        <v>-88</v>
      </c>
      <c r="I85" s="11">
        <v>-9155</v>
      </c>
    </row>
    <row r="86" spans="2:11" x14ac:dyDescent="0.25">
      <c r="B86" s="11">
        <v>-55.5</v>
      </c>
      <c r="I86" s="11">
        <v>-9700</v>
      </c>
    </row>
    <row r="87" spans="2:11" x14ac:dyDescent="0.25">
      <c r="G87" s="11">
        <v>-10545</v>
      </c>
    </row>
    <row r="88" spans="2:11" x14ac:dyDescent="0.25">
      <c r="I88" s="11">
        <v>-11319</v>
      </c>
    </row>
    <row r="89" spans="2:11" x14ac:dyDescent="0.25">
      <c r="G89" s="11">
        <v>-12177.56</v>
      </c>
      <c r="I89" s="11">
        <v>-12177.56</v>
      </c>
    </row>
    <row r="90" spans="2:11" x14ac:dyDescent="0.25">
      <c r="I90" s="11">
        <v>-12212.89</v>
      </c>
    </row>
    <row r="91" spans="2:11" x14ac:dyDescent="0.25">
      <c r="G91" s="11">
        <v>-13500</v>
      </c>
      <c r="K91" s="11"/>
    </row>
    <row r="92" spans="2:11" x14ac:dyDescent="0.25">
      <c r="I92" s="11">
        <v>-14642.66</v>
      </c>
      <c r="K92" s="11"/>
    </row>
    <row r="93" spans="2:11" x14ac:dyDescent="0.25">
      <c r="G93" s="11">
        <v>-15000</v>
      </c>
      <c r="I93" s="11">
        <v>-15000</v>
      </c>
    </row>
    <row r="94" spans="2:11" x14ac:dyDescent="0.25">
      <c r="I94" s="11">
        <v>-15925.56</v>
      </c>
    </row>
    <row r="95" spans="2:11" x14ac:dyDescent="0.25">
      <c r="G95" s="11">
        <v>-22000</v>
      </c>
    </row>
    <row r="96" spans="2:11" x14ac:dyDescent="0.25">
      <c r="I96" s="11">
        <v>-22050</v>
      </c>
      <c r="K96" s="7"/>
    </row>
    <row r="97" spans="7:11" x14ac:dyDescent="0.25">
      <c r="G97" s="11">
        <v>-30000</v>
      </c>
    </row>
    <row r="98" spans="7:11" x14ac:dyDescent="0.25">
      <c r="I98" s="11">
        <v>-32268.71</v>
      </c>
    </row>
    <row r="99" spans="7:11" x14ac:dyDescent="0.25">
      <c r="G99" s="11">
        <v>-40000</v>
      </c>
    </row>
    <row r="100" spans="7:11" x14ac:dyDescent="0.25">
      <c r="G100" s="11">
        <v>-48696.2</v>
      </c>
    </row>
    <row r="101" spans="7:11" x14ac:dyDescent="0.25">
      <c r="G101" s="11">
        <v>-51448.81</v>
      </c>
    </row>
    <row r="102" spans="7:11" x14ac:dyDescent="0.25">
      <c r="I102" s="11">
        <v>-59637.17</v>
      </c>
    </row>
    <row r="103" spans="7:11" x14ac:dyDescent="0.25">
      <c r="I103" s="11">
        <v>-76303.95</v>
      </c>
    </row>
    <row r="104" spans="7:11" x14ac:dyDescent="0.25">
      <c r="I104" s="11">
        <v>-100903.31</v>
      </c>
      <c r="K104" s="7"/>
    </row>
    <row r="105" spans="7:11" x14ac:dyDescent="0.25">
      <c r="I105" s="11">
        <v>-112789.75</v>
      </c>
    </row>
    <row r="106" spans="7:11" x14ac:dyDescent="0.25">
      <c r="G106" s="11">
        <v>-1222028.2</v>
      </c>
    </row>
    <row r="107" spans="7:11" x14ac:dyDescent="0.25">
      <c r="I107" s="11">
        <v>-1245985.76</v>
      </c>
    </row>
  </sheetData>
  <sortState xmlns:xlrd2="http://schemas.microsoft.com/office/spreadsheetml/2017/richdata2" ref="I8:I128">
    <sortCondition descending="1" ref="I8"/>
  </sortState>
  <mergeCells count="1">
    <mergeCell ref="G1:I1"/>
  </mergeCell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5363" r:id="rId4" name="btLimpiar">
          <controlPr autoLine="0" r:id="rId5">
            <anchor moveWithCells="1">
              <from>
                <xdr:col>4</xdr:col>
                <xdr:colOff>276225</xdr:colOff>
                <xdr:row>4</xdr:row>
                <xdr:rowOff>0</xdr:rowOff>
              </from>
              <to>
                <xdr:col>5</xdr:col>
                <xdr:colOff>428625</xdr:colOff>
                <xdr:row>5</xdr:row>
                <xdr:rowOff>114300</xdr:rowOff>
              </to>
            </anchor>
          </controlPr>
        </control>
      </mc:Choice>
      <mc:Fallback>
        <control shapeId="15363" r:id="rId4" name="btLimpiar"/>
      </mc:Fallback>
    </mc:AlternateContent>
    <mc:AlternateContent xmlns:mc="http://schemas.openxmlformats.org/markup-compatibility/2006">
      <mc:Choice Requires="x14">
        <control shapeId="15362" r:id="rId6" name="btRegresar">
          <controlPr defaultSize="0" autoLine="0" r:id="rId7">
            <anchor moveWithCells="1">
              <from>
                <xdr:col>9</xdr:col>
                <xdr:colOff>581025</xdr:colOff>
                <xdr:row>0</xdr:row>
                <xdr:rowOff>57150</xdr:rowOff>
              </from>
              <to>
                <xdr:col>11</xdr:col>
                <xdr:colOff>28575</xdr:colOff>
                <xdr:row>3</xdr:row>
                <xdr:rowOff>9525</xdr:rowOff>
              </to>
            </anchor>
          </controlPr>
        </control>
      </mc:Choice>
      <mc:Fallback>
        <control shapeId="15362" r:id="rId6" name="btRegresar"/>
      </mc:Fallback>
    </mc:AlternateContent>
    <mc:AlternateContent xmlns:mc="http://schemas.openxmlformats.org/markup-compatibility/2006">
      <mc:Choice Requires="x14">
        <control shapeId="15361" r:id="rId8" name="btComparar">
          <controlPr autoLine="0" r:id="rId9">
            <anchor moveWithCells="1">
              <from>
                <xdr:col>4</xdr:col>
                <xdr:colOff>257175</xdr:colOff>
                <xdr:row>0</xdr:row>
                <xdr:rowOff>57150</xdr:rowOff>
              </from>
              <to>
                <xdr:col>5</xdr:col>
                <xdr:colOff>409575</xdr:colOff>
                <xdr:row>1</xdr:row>
                <xdr:rowOff>161925</xdr:rowOff>
              </to>
            </anchor>
          </controlPr>
        </control>
      </mc:Choice>
      <mc:Fallback>
        <control shapeId="15361" r:id="rId8" name="btCompara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2"/>
  <dimension ref="A1:G86"/>
  <sheetViews>
    <sheetView workbookViewId="0">
      <selection activeCell="D12" sqref="D12"/>
    </sheetView>
  </sheetViews>
  <sheetFormatPr baseColWidth="10" defaultRowHeight="15" x14ac:dyDescent="0.25"/>
  <cols>
    <col min="4" max="4" width="11.42578125" style="47"/>
    <col min="5" max="5" width="11.42578125" style="53"/>
    <col min="6" max="6" width="11.42578125" style="47"/>
  </cols>
  <sheetData>
    <row r="1" spans="1:7" x14ac:dyDescent="0.25">
      <c r="A1" t="s">
        <v>108</v>
      </c>
      <c r="B1" t="s">
        <v>109</v>
      </c>
      <c r="C1" t="s">
        <v>110</v>
      </c>
      <c r="D1" s="47" t="s">
        <v>111</v>
      </c>
      <c r="E1" s="53" t="s">
        <v>112</v>
      </c>
      <c r="F1" s="47" t="s">
        <v>113</v>
      </c>
      <c r="G1" t="s">
        <v>114</v>
      </c>
    </row>
    <row r="2" spans="1:7" x14ac:dyDescent="0.25">
      <c r="A2">
        <v>20261</v>
      </c>
      <c r="B2" t="s">
        <v>127</v>
      </c>
      <c r="C2" t="s">
        <v>128</v>
      </c>
      <c r="D2" s="47" t="s">
        <v>129</v>
      </c>
      <c r="E2" s="53" t="s">
        <v>130</v>
      </c>
      <c r="F2" s="47" t="s">
        <v>129</v>
      </c>
      <c r="G2" t="s">
        <v>131</v>
      </c>
    </row>
    <row r="3" spans="1:7" x14ac:dyDescent="0.25">
      <c r="A3">
        <v>20260</v>
      </c>
      <c r="B3" t="s">
        <v>132</v>
      </c>
      <c r="C3" t="s">
        <v>128</v>
      </c>
      <c r="D3" s="47" t="s">
        <v>129</v>
      </c>
      <c r="E3" s="53" t="s">
        <v>133</v>
      </c>
      <c r="F3" s="47" t="s">
        <v>129</v>
      </c>
      <c r="G3" t="s">
        <v>131</v>
      </c>
    </row>
    <row r="4" spans="1:7" x14ac:dyDescent="0.25">
      <c r="A4">
        <v>20259</v>
      </c>
      <c r="B4" t="s">
        <v>134</v>
      </c>
      <c r="C4" t="s">
        <v>135</v>
      </c>
      <c r="D4" s="47" t="s">
        <v>129</v>
      </c>
      <c r="E4" s="53" t="s">
        <v>136</v>
      </c>
      <c r="F4" s="47" t="s">
        <v>129</v>
      </c>
      <c r="G4" t="s">
        <v>131</v>
      </c>
    </row>
    <row r="5" spans="1:7" x14ac:dyDescent="0.25">
      <c r="A5">
        <v>20258</v>
      </c>
      <c r="B5" t="s">
        <v>137</v>
      </c>
      <c r="C5" t="s">
        <v>138</v>
      </c>
      <c r="D5" s="47" t="s">
        <v>129</v>
      </c>
      <c r="E5" s="53" t="s">
        <v>139</v>
      </c>
      <c r="F5" s="47" t="s">
        <v>129</v>
      </c>
      <c r="G5" t="s">
        <v>115</v>
      </c>
    </row>
    <row r="6" spans="1:7" x14ac:dyDescent="0.25">
      <c r="A6">
        <v>20257</v>
      </c>
      <c r="B6" t="s">
        <v>132</v>
      </c>
      <c r="C6" t="s">
        <v>140</v>
      </c>
      <c r="D6" s="47" t="s">
        <v>129</v>
      </c>
      <c r="E6" s="53" t="s">
        <v>141</v>
      </c>
      <c r="F6" s="47" t="s">
        <v>129</v>
      </c>
      <c r="G6" t="s">
        <v>115</v>
      </c>
    </row>
    <row r="7" spans="1:7" x14ac:dyDescent="0.25">
      <c r="A7">
        <v>20256</v>
      </c>
      <c r="B7" t="s">
        <v>142</v>
      </c>
      <c r="C7" t="s">
        <v>138</v>
      </c>
      <c r="D7" s="47" t="s">
        <v>129</v>
      </c>
      <c r="E7" s="53" t="s">
        <v>143</v>
      </c>
      <c r="F7" s="47" t="s">
        <v>129</v>
      </c>
      <c r="G7" t="s">
        <v>115</v>
      </c>
    </row>
    <row r="8" spans="1:7" x14ac:dyDescent="0.25">
      <c r="A8">
        <v>20255</v>
      </c>
      <c r="B8" t="s">
        <v>142</v>
      </c>
      <c r="C8" t="s">
        <v>144</v>
      </c>
      <c r="D8" s="47" t="s">
        <v>129</v>
      </c>
      <c r="E8" s="53" t="s">
        <v>145</v>
      </c>
      <c r="F8" s="47" t="s">
        <v>129</v>
      </c>
      <c r="G8" t="s">
        <v>146</v>
      </c>
    </row>
    <row r="9" spans="1:7" x14ac:dyDescent="0.25">
      <c r="A9">
        <v>20254</v>
      </c>
      <c r="B9" t="s">
        <v>147</v>
      </c>
      <c r="C9" t="s">
        <v>117</v>
      </c>
      <c r="D9" s="47" t="s">
        <v>129</v>
      </c>
      <c r="E9" s="53" t="s">
        <v>148</v>
      </c>
      <c r="F9" s="47" t="s">
        <v>129</v>
      </c>
      <c r="G9" t="s">
        <v>146</v>
      </c>
    </row>
    <row r="10" spans="1:7" x14ac:dyDescent="0.25">
      <c r="A10">
        <v>20252</v>
      </c>
      <c r="B10" t="s">
        <v>149</v>
      </c>
      <c r="C10" t="s">
        <v>150</v>
      </c>
      <c r="D10" s="47" t="s">
        <v>129</v>
      </c>
      <c r="E10" s="53" t="s">
        <v>151</v>
      </c>
      <c r="F10" s="47" t="s">
        <v>129</v>
      </c>
      <c r="G10" t="s">
        <v>115</v>
      </c>
    </row>
    <row r="11" spans="1:7" x14ac:dyDescent="0.25">
      <c r="A11">
        <v>20251</v>
      </c>
      <c r="B11" t="s">
        <v>149</v>
      </c>
      <c r="C11" t="s">
        <v>152</v>
      </c>
      <c r="D11" s="47" t="s">
        <v>129</v>
      </c>
      <c r="E11" s="53" t="s">
        <v>153</v>
      </c>
      <c r="F11" s="47" t="s">
        <v>129</v>
      </c>
      <c r="G11" t="s">
        <v>115</v>
      </c>
    </row>
    <row r="12" spans="1:7" x14ac:dyDescent="0.25">
      <c r="A12">
        <v>20253</v>
      </c>
      <c r="B12" t="s">
        <v>149</v>
      </c>
      <c r="C12" t="s">
        <v>154</v>
      </c>
      <c r="D12" s="47" t="s">
        <v>129</v>
      </c>
      <c r="E12" s="53" t="s">
        <v>155</v>
      </c>
      <c r="F12" s="47" t="s">
        <v>129</v>
      </c>
      <c r="G12" t="s">
        <v>115</v>
      </c>
    </row>
    <row r="13" spans="1:7" x14ac:dyDescent="0.25">
      <c r="A13">
        <v>20250</v>
      </c>
      <c r="B13" t="s">
        <v>137</v>
      </c>
      <c r="C13" t="s">
        <v>144</v>
      </c>
      <c r="D13" s="47" t="s">
        <v>129</v>
      </c>
      <c r="E13" s="53" t="s">
        <v>156</v>
      </c>
      <c r="F13" s="47" t="s">
        <v>129</v>
      </c>
      <c r="G13" t="s">
        <v>131</v>
      </c>
    </row>
    <row r="14" spans="1:7" x14ac:dyDescent="0.25">
      <c r="A14">
        <v>20249</v>
      </c>
      <c r="B14" t="s">
        <v>132</v>
      </c>
      <c r="C14" t="s">
        <v>138</v>
      </c>
      <c r="D14" s="47" t="s">
        <v>129</v>
      </c>
      <c r="E14" s="53" t="s">
        <v>157</v>
      </c>
      <c r="F14" s="47" t="s">
        <v>129</v>
      </c>
      <c r="G14" t="s">
        <v>131</v>
      </c>
    </row>
    <row r="15" spans="1:7" x14ac:dyDescent="0.25">
      <c r="A15">
        <v>20248</v>
      </c>
      <c r="B15" t="s">
        <v>119</v>
      </c>
      <c r="C15" t="s">
        <v>117</v>
      </c>
      <c r="D15" s="47" t="s">
        <v>129</v>
      </c>
      <c r="E15" s="53" t="s">
        <v>158</v>
      </c>
      <c r="F15" s="47" t="s">
        <v>129</v>
      </c>
      <c r="G15" t="s">
        <v>131</v>
      </c>
    </row>
    <row r="16" spans="1:7" x14ac:dyDescent="0.25">
      <c r="A16">
        <v>20247</v>
      </c>
      <c r="B16" t="s">
        <v>159</v>
      </c>
      <c r="C16" t="s">
        <v>117</v>
      </c>
      <c r="D16" s="47" t="s">
        <v>129</v>
      </c>
      <c r="E16" s="53" t="s">
        <v>160</v>
      </c>
      <c r="F16" s="47" t="s">
        <v>129</v>
      </c>
      <c r="G16" t="s">
        <v>115</v>
      </c>
    </row>
    <row r="17" spans="1:7" x14ac:dyDescent="0.25">
      <c r="A17">
        <v>20246</v>
      </c>
      <c r="B17" t="s">
        <v>149</v>
      </c>
      <c r="C17" t="s">
        <v>161</v>
      </c>
      <c r="D17" s="47" t="s">
        <v>129</v>
      </c>
      <c r="E17" s="53" t="s">
        <v>162</v>
      </c>
      <c r="F17" s="47" t="s">
        <v>129</v>
      </c>
      <c r="G17" t="s">
        <v>115</v>
      </c>
    </row>
    <row r="18" spans="1:7" x14ac:dyDescent="0.25">
      <c r="A18">
        <v>20245</v>
      </c>
      <c r="B18" t="s">
        <v>127</v>
      </c>
      <c r="C18" t="s">
        <v>140</v>
      </c>
      <c r="D18" s="47" t="s">
        <v>129</v>
      </c>
      <c r="E18" s="53" t="s">
        <v>163</v>
      </c>
      <c r="F18" s="47" t="s">
        <v>129</v>
      </c>
      <c r="G18" t="s">
        <v>131</v>
      </c>
    </row>
    <row r="19" spans="1:7" x14ac:dyDescent="0.25">
      <c r="A19">
        <v>20244</v>
      </c>
      <c r="B19" t="s">
        <v>132</v>
      </c>
      <c r="C19" t="s">
        <v>144</v>
      </c>
      <c r="D19" s="47" t="s">
        <v>129</v>
      </c>
      <c r="E19" s="53" t="s">
        <v>164</v>
      </c>
      <c r="F19" s="47" t="s">
        <v>129</v>
      </c>
      <c r="G19" t="s">
        <v>131</v>
      </c>
    </row>
    <row r="20" spans="1:7" x14ac:dyDescent="0.25">
      <c r="A20">
        <v>20243</v>
      </c>
      <c r="B20" t="s">
        <v>137</v>
      </c>
      <c r="C20" t="s">
        <v>135</v>
      </c>
      <c r="D20" s="47" t="s">
        <v>129</v>
      </c>
      <c r="E20" s="53" t="s">
        <v>165</v>
      </c>
      <c r="F20" s="47" t="s">
        <v>129</v>
      </c>
      <c r="G20" t="s">
        <v>131</v>
      </c>
    </row>
    <row r="21" spans="1:7" x14ac:dyDescent="0.25">
      <c r="A21">
        <v>20242</v>
      </c>
      <c r="B21" t="s">
        <v>166</v>
      </c>
      <c r="C21" t="s">
        <v>135</v>
      </c>
      <c r="D21" s="47" t="s">
        <v>129</v>
      </c>
      <c r="E21" s="53" t="s">
        <v>167</v>
      </c>
      <c r="F21" s="47" t="s">
        <v>129</v>
      </c>
      <c r="G21" t="s">
        <v>146</v>
      </c>
    </row>
    <row r="22" spans="1:7" x14ac:dyDescent="0.25">
      <c r="A22">
        <v>20241</v>
      </c>
      <c r="B22" t="s">
        <v>127</v>
      </c>
      <c r="C22" t="s">
        <v>138</v>
      </c>
      <c r="D22" s="47" t="s">
        <v>129</v>
      </c>
      <c r="E22" s="53" t="s">
        <v>168</v>
      </c>
      <c r="F22" s="47" t="s">
        <v>129</v>
      </c>
      <c r="G22" t="s">
        <v>146</v>
      </c>
    </row>
    <row r="23" spans="1:7" x14ac:dyDescent="0.25">
      <c r="A23">
        <v>20240</v>
      </c>
      <c r="B23" t="s">
        <v>142</v>
      </c>
      <c r="C23" t="s">
        <v>135</v>
      </c>
      <c r="D23" s="47" t="s">
        <v>129</v>
      </c>
      <c r="E23" s="53" t="s">
        <v>169</v>
      </c>
      <c r="F23" s="47" t="s">
        <v>129</v>
      </c>
      <c r="G23" t="s">
        <v>115</v>
      </c>
    </row>
    <row r="24" spans="1:7" x14ac:dyDescent="0.25">
      <c r="A24">
        <v>20239</v>
      </c>
      <c r="B24" t="s">
        <v>134</v>
      </c>
      <c r="C24" t="s">
        <v>117</v>
      </c>
      <c r="D24" s="47" t="s">
        <v>129</v>
      </c>
      <c r="E24" s="53" t="s">
        <v>170</v>
      </c>
      <c r="F24" s="47" t="s">
        <v>129</v>
      </c>
      <c r="G24" t="s">
        <v>146</v>
      </c>
    </row>
    <row r="25" spans="1:7" x14ac:dyDescent="0.25">
      <c r="A25">
        <v>20238</v>
      </c>
      <c r="B25" t="s">
        <v>132</v>
      </c>
      <c r="C25" t="s">
        <v>135</v>
      </c>
      <c r="D25" s="47" t="s">
        <v>129</v>
      </c>
      <c r="E25" s="53" t="s">
        <v>171</v>
      </c>
      <c r="F25" s="47" t="s">
        <v>129</v>
      </c>
      <c r="G25" t="s">
        <v>172</v>
      </c>
    </row>
    <row r="26" spans="1:7" x14ac:dyDescent="0.25">
      <c r="A26">
        <v>20237</v>
      </c>
      <c r="B26" t="s">
        <v>173</v>
      </c>
      <c r="C26" t="s">
        <v>135</v>
      </c>
      <c r="D26" s="47" t="s">
        <v>129</v>
      </c>
      <c r="E26" s="53" t="s">
        <v>174</v>
      </c>
      <c r="F26" s="47" t="s">
        <v>129</v>
      </c>
      <c r="G26" t="s">
        <v>115</v>
      </c>
    </row>
    <row r="27" spans="1:7" x14ac:dyDescent="0.25">
      <c r="A27">
        <v>20236</v>
      </c>
      <c r="B27" t="s">
        <v>149</v>
      </c>
      <c r="C27" t="s">
        <v>175</v>
      </c>
      <c r="D27" s="47" t="s">
        <v>129</v>
      </c>
      <c r="E27" s="53" t="s">
        <v>176</v>
      </c>
      <c r="F27" s="47" t="s">
        <v>129</v>
      </c>
      <c r="G27" t="s">
        <v>131</v>
      </c>
    </row>
    <row r="28" spans="1:7" x14ac:dyDescent="0.25">
      <c r="A28">
        <v>20235</v>
      </c>
      <c r="B28" t="s">
        <v>127</v>
      </c>
      <c r="C28" t="s">
        <v>144</v>
      </c>
      <c r="D28" s="47" t="s">
        <v>129</v>
      </c>
      <c r="E28" s="53" t="s">
        <v>177</v>
      </c>
      <c r="F28" s="47" t="s">
        <v>129</v>
      </c>
      <c r="G28" t="s">
        <v>115</v>
      </c>
    </row>
    <row r="29" spans="1:7" x14ac:dyDescent="0.25">
      <c r="A29">
        <v>20234</v>
      </c>
      <c r="B29" t="s">
        <v>127</v>
      </c>
      <c r="C29" t="s">
        <v>135</v>
      </c>
      <c r="D29" s="47" t="s">
        <v>129</v>
      </c>
      <c r="E29" s="53" t="s">
        <v>178</v>
      </c>
      <c r="F29" s="47" t="s">
        <v>129</v>
      </c>
      <c r="G29" t="s">
        <v>131</v>
      </c>
    </row>
    <row r="30" spans="1:7" x14ac:dyDescent="0.25">
      <c r="A30">
        <v>20233</v>
      </c>
      <c r="B30" t="s">
        <v>132</v>
      </c>
      <c r="C30" t="s">
        <v>117</v>
      </c>
      <c r="D30" s="47" t="s">
        <v>129</v>
      </c>
      <c r="E30" s="53" t="s">
        <v>179</v>
      </c>
      <c r="F30" s="47" t="s">
        <v>129</v>
      </c>
      <c r="G30" t="s">
        <v>115</v>
      </c>
    </row>
    <row r="31" spans="1:7" x14ac:dyDescent="0.25">
      <c r="A31">
        <v>20232</v>
      </c>
      <c r="B31" t="s">
        <v>137</v>
      </c>
      <c r="C31" t="s">
        <v>117</v>
      </c>
      <c r="D31" s="47" t="s">
        <v>129</v>
      </c>
      <c r="E31" s="53" t="s">
        <v>180</v>
      </c>
      <c r="F31" s="47" t="s">
        <v>129</v>
      </c>
      <c r="G31" t="s">
        <v>115</v>
      </c>
    </row>
    <row r="32" spans="1:7" x14ac:dyDescent="0.25">
      <c r="A32">
        <v>20231</v>
      </c>
      <c r="B32" t="s">
        <v>181</v>
      </c>
      <c r="C32" t="s">
        <v>117</v>
      </c>
      <c r="D32" s="47" t="s">
        <v>129</v>
      </c>
      <c r="E32" s="53" t="s">
        <v>182</v>
      </c>
      <c r="F32" s="47" t="s">
        <v>129</v>
      </c>
      <c r="G32" t="s">
        <v>131</v>
      </c>
    </row>
    <row r="33" spans="1:7" x14ac:dyDescent="0.25">
      <c r="A33">
        <v>20230</v>
      </c>
      <c r="B33" t="s">
        <v>149</v>
      </c>
      <c r="C33" t="s">
        <v>128</v>
      </c>
      <c r="D33" s="47" t="s">
        <v>129</v>
      </c>
      <c r="E33" s="53" t="s">
        <v>183</v>
      </c>
      <c r="F33" s="47" t="s">
        <v>129</v>
      </c>
      <c r="G33" t="s">
        <v>131</v>
      </c>
    </row>
    <row r="34" spans="1:7" x14ac:dyDescent="0.25">
      <c r="A34">
        <v>20229</v>
      </c>
      <c r="B34" t="s">
        <v>149</v>
      </c>
      <c r="C34" t="s">
        <v>140</v>
      </c>
      <c r="D34" s="47" t="s">
        <v>129</v>
      </c>
      <c r="E34" s="53" t="s">
        <v>184</v>
      </c>
      <c r="F34" s="47" t="s">
        <v>129</v>
      </c>
      <c r="G34" t="s">
        <v>131</v>
      </c>
    </row>
    <row r="35" spans="1:7" x14ac:dyDescent="0.25">
      <c r="A35">
        <v>20228</v>
      </c>
      <c r="B35" t="s">
        <v>142</v>
      </c>
      <c r="C35" t="s">
        <v>117</v>
      </c>
      <c r="D35" s="47" t="s">
        <v>129</v>
      </c>
      <c r="E35" s="53" t="s">
        <v>185</v>
      </c>
      <c r="F35" s="47" t="s">
        <v>129</v>
      </c>
      <c r="G35" t="s">
        <v>131</v>
      </c>
    </row>
    <row r="36" spans="1:7" x14ac:dyDescent="0.25">
      <c r="A36">
        <v>20227</v>
      </c>
      <c r="B36" t="s">
        <v>137</v>
      </c>
      <c r="C36" t="s">
        <v>118</v>
      </c>
      <c r="D36" s="47" t="s">
        <v>129</v>
      </c>
      <c r="E36" s="53" t="s">
        <v>186</v>
      </c>
      <c r="F36" s="47" t="s">
        <v>129</v>
      </c>
      <c r="G36" t="s">
        <v>115</v>
      </c>
    </row>
    <row r="37" spans="1:7" x14ac:dyDescent="0.25">
      <c r="A37">
        <v>20226</v>
      </c>
      <c r="B37" t="s">
        <v>132</v>
      </c>
      <c r="C37" t="s">
        <v>118</v>
      </c>
      <c r="D37" s="47" t="s">
        <v>129</v>
      </c>
      <c r="E37" s="53" t="s">
        <v>187</v>
      </c>
      <c r="F37" s="47" t="s">
        <v>129</v>
      </c>
      <c r="G37" t="s">
        <v>115</v>
      </c>
    </row>
    <row r="38" spans="1:7" x14ac:dyDescent="0.25">
      <c r="A38">
        <v>20225</v>
      </c>
      <c r="B38" t="s">
        <v>116</v>
      </c>
      <c r="C38" t="s">
        <v>118</v>
      </c>
      <c r="D38" s="47" t="s">
        <v>129</v>
      </c>
      <c r="E38" s="53" t="s">
        <v>188</v>
      </c>
      <c r="F38" s="47" t="s">
        <v>129</v>
      </c>
      <c r="G38" t="s">
        <v>115</v>
      </c>
    </row>
    <row r="39" spans="1:7" x14ac:dyDescent="0.25">
      <c r="A39">
        <v>20224</v>
      </c>
      <c r="B39" t="s">
        <v>119</v>
      </c>
      <c r="C39" t="s">
        <v>118</v>
      </c>
      <c r="D39" s="47" t="s">
        <v>129</v>
      </c>
      <c r="E39" s="53" t="s">
        <v>189</v>
      </c>
      <c r="F39" s="47" t="s">
        <v>129</v>
      </c>
      <c r="G39" t="s">
        <v>115</v>
      </c>
    </row>
    <row r="40" spans="1:7" x14ac:dyDescent="0.25">
      <c r="A40">
        <v>20223</v>
      </c>
      <c r="B40" t="s">
        <v>190</v>
      </c>
      <c r="C40" t="s">
        <v>118</v>
      </c>
      <c r="D40" s="47" t="s">
        <v>129</v>
      </c>
      <c r="E40" s="53" t="s">
        <v>191</v>
      </c>
      <c r="F40" s="47" t="s">
        <v>129</v>
      </c>
      <c r="G40" t="s">
        <v>115</v>
      </c>
    </row>
    <row r="41" spans="1:7" x14ac:dyDescent="0.25">
      <c r="A41">
        <v>20222</v>
      </c>
      <c r="B41" t="s">
        <v>192</v>
      </c>
      <c r="C41" t="s">
        <v>118</v>
      </c>
      <c r="D41" s="47" t="s">
        <v>129</v>
      </c>
      <c r="E41" s="53" t="s">
        <v>193</v>
      </c>
      <c r="F41" s="47" t="s">
        <v>129</v>
      </c>
      <c r="G41" t="s">
        <v>115</v>
      </c>
    </row>
    <row r="42" spans="1:7" x14ac:dyDescent="0.25">
      <c r="A42">
        <v>20220</v>
      </c>
      <c r="B42" t="s">
        <v>194</v>
      </c>
      <c r="C42" t="s">
        <v>117</v>
      </c>
      <c r="D42" s="47" t="s">
        <v>129</v>
      </c>
      <c r="E42" s="53" t="s">
        <v>195</v>
      </c>
      <c r="F42" s="47" t="s">
        <v>129</v>
      </c>
      <c r="G42" t="s">
        <v>115</v>
      </c>
    </row>
    <row r="43" spans="1:7" x14ac:dyDescent="0.25">
      <c r="A43">
        <v>20221</v>
      </c>
      <c r="B43" t="s">
        <v>196</v>
      </c>
      <c r="C43" t="s">
        <v>117</v>
      </c>
      <c r="D43" s="47" t="s">
        <v>129</v>
      </c>
      <c r="E43" s="53" t="s">
        <v>197</v>
      </c>
      <c r="F43" s="47" t="s">
        <v>129</v>
      </c>
      <c r="G43" t="s">
        <v>115</v>
      </c>
    </row>
    <row r="44" spans="1:7" x14ac:dyDescent="0.25">
      <c r="A44">
        <v>20219</v>
      </c>
      <c r="B44" t="s">
        <v>196</v>
      </c>
      <c r="C44" t="s">
        <v>118</v>
      </c>
      <c r="D44" s="47" t="s">
        <v>129</v>
      </c>
      <c r="E44" s="53" t="s">
        <v>198</v>
      </c>
      <c r="F44" s="47" t="s">
        <v>129</v>
      </c>
      <c r="G44" t="s">
        <v>115</v>
      </c>
    </row>
    <row r="45" spans="1:7" x14ac:dyDescent="0.25">
      <c r="A45">
        <v>20218</v>
      </c>
      <c r="B45" t="s">
        <v>194</v>
      </c>
      <c r="C45" t="s">
        <v>118</v>
      </c>
      <c r="D45" s="47" t="s">
        <v>129</v>
      </c>
      <c r="E45" s="53" t="s">
        <v>199</v>
      </c>
      <c r="F45" s="47" t="s">
        <v>129</v>
      </c>
      <c r="G45" t="s">
        <v>115</v>
      </c>
    </row>
    <row r="46" spans="1:7" x14ac:dyDescent="0.25">
      <c r="A46">
        <v>20216</v>
      </c>
      <c r="B46" t="s">
        <v>134</v>
      </c>
      <c r="C46" t="s">
        <v>118</v>
      </c>
      <c r="D46" s="47" t="s">
        <v>129</v>
      </c>
      <c r="E46" s="53" t="s">
        <v>200</v>
      </c>
      <c r="F46" s="47" t="s">
        <v>129</v>
      </c>
      <c r="G46" t="s">
        <v>115</v>
      </c>
    </row>
    <row r="47" spans="1:7" x14ac:dyDescent="0.25">
      <c r="A47">
        <v>20217</v>
      </c>
      <c r="B47" t="s">
        <v>181</v>
      </c>
      <c r="C47" t="s">
        <v>118</v>
      </c>
      <c r="D47" s="47" t="s">
        <v>129</v>
      </c>
      <c r="E47" s="53" t="s">
        <v>201</v>
      </c>
      <c r="F47" s="47" t="s">
        <v>129</v>
      </c>
      <c r="G47" t="s">
        <v>115</v>
      </c>
    </row>
    <row r="48" spans="1:7" x14ac:dyDescent="0.25">
      <c r="A48">
        <v>20214</v>
      </c>
      <c r="B48" t="s">
        <v>202</v>
      </c>
      <c r="C48" t="s">
        <v>118</v>
      </c>
      <c r="D48" s="47" t="s">
        <v>129</v>
      </c>
      <c r="E48" s="53" t="s">
        <v>203</v>
      </c>
      <c r="F48" s="47" t="s">
        <v>129</v>
      </c>
      <c r="G48" t="s">
        <v>115</v>
      </c>
    </row>
    <row r="49" spans="1:7" x14ac:dyDescent="0.25">
      <c r="A49">
        <v>20215</v>
      </c>
      <c r="B49" t="s">
        <v>159</v>
      </c>
      <c r="C49" t="s">
        <v>118</v>
      </c>
      <c r="D49" s="47" t="s">
        <v>129</v>
      </c>
      <c r="E49" s="53" t="s">
        <v>204</v>
      </c>
      <c r="F49" s="47" t="s">
        <v>129</v>
      </c>
      <c r="G49" t="s">
        <v>115</v>
      </c>
    </row>
    <row r="50" spans="1:7" x14ac:dyDescent="0.25">
      <c r="A50">
        <v>20213</v>
      </c>
      <c r="B50" t="s">
        <v>147</v>
      </c>
      <c r="C50" t="s">
        <v>118</v>
      </c>
      <c r="D50" s="47" t="s">
        <v>129</v>
      </c>
      <c r="E50" s="53" t="s">
        <v>205</v>
      </c>
      <c r="F50" s="47" t="s">
        <v>129</v>
      </c>
      <c r="G50" t="s">
        <v>115</v>
      </c>
    </row>
    <row r="51" spans="1:7" x14ac:dyDescent="0.25">
      <c r="A51">
        <v>20212</v>
      </c>
      <c r="B51" t="s">
        <v>142</v>
      </c>
      <c r="C51" t="s">
        <v>118</v>
      </c>
      <c r="D51" s="47" t="s">
        <v>129</v>
      </c>
      <c r="E51" s="53" t="s">
        <v>206</v>
      </c>
      <c r="F51" s="47" t="s">
        <v>129</v>
      </c>
      <c r="G51" t="s">
        <v>115</v>
      </c>
    </row>
    <row r="52" spans="1:7" x14ac:dyDescent="0.25">
      <c r="A52">
        <v>20209</v>
      </c>
      <c r="B52" t="s">
        <v>207</v>
      </c>
      <c r="C52" t="s">
        <v>118</v>
      </c>
      <c r="D52" s="47" t="s">
        <v>129</v>
      </c>
      <c r="E52" s="53" t="s">
        <v>208</v>
      </c>
      <c r="F52" s="47" t="s">
        <v>129</v>
      </c>
      <c r="G52" t="s">
        <v>115</v>
      </c>
    </row>
    <row r="53" spans="1:7" x14ac:dyDescent="0.25">
      <c r="A53">
        <v>20208</v>
      </c>
      <c r="B53" t="s">
        <v>209</v>
      </c>
      <c r="C53" t="s">
        <v>118</v>
      </c>
      <c r="D53" s="47" t="s">
        <v>129</v>
      </c>
      <c r="E53" s="53" t="s">
        <v>210</v>
      </c>
      <c r="F53" s="47" t="s">
        <v>129</v>
      </c>
      <c r="G53" t="s">
        <v>115</v>
      </c>
    </row>
    <row r="54" spans="1:7" x14ac:dyDescent="0.25">
      <c r="A54">
        <v>20207</v>
      </c>
      <c r="B54" t="s">
        <v>211</v>
      </c>
      <c r="C54" t="s">
        <v>118</v>
      </c>
      <c r="D54" s="47" t="s">
        <v>129</v>
      </c>
      <c r="E54" s="53" t="s">
        <v>212</v>
      </c>
      <c r="F54" s="47" t="s">
        <v>129</v>
      </c>
      <c r="G54" t="s">
        <v>115</v>
      </c>
    </row>
    <row r="55" spans="1:7" x14ac:dyDescent="0.25">
      <c r="A55">
        <v>20210</v>
      </c>
      <c r="B55" t="s">
        <v>213</v>
      </c>
      <c r="C55" t="s">
        <v>118</v>
      </c>
      <c r="D55" s="47" t="s">
        <v>129</v>
      </c>
      <c r="E55" s="53" t="s">
        <v>214</v>
      </c>
      <c r="F55" s="47" t="s">
        <v>129</v>
      </c>
      <c r="G55" t="s">
        <v>115</v>
      </c>
    </row>
    <row r="56" spans="1:7" x14ac:dyDescent="0.25">
      <c r="A56">
        <v>20211</v>
      </c>
      <c r="B56" t="s">
        <v>127</v>
      </c>
      <c r="C56" t="s">
        <v>117</v>
      </c>
      <c r="D56" s="47" t="s">
        <v>129</v>
      </c>
      <c r="E56" s="53" t="s">
        <v>215</v>
      </c>
      <c r="F56" s="47" t="s">
        <v>129</v>
      </c>
      <c r="G56" t="s">
        <v>115</v>
      </c>
    </row>
    <row r="57" spans="1:7" x14ac:dyDescent="0.25">
      <c r="A57">
        <v>20206</v>
      </c>
      <c r="B57" t="s">
        <v>166</v>
      </c>
      <c r="C57" t="s">
        <v>117</v>
      </c>
      <c r="D57" s="47" t="s">
        <v>129</v>
      </c>
      <c r="E57" s="53" t="s">
        <v>216</v>
      </c>
      <c r="F57" s="47" t="s">
        <v>129</v>
      </c>
      <c r="G57" t="s">
        <v>115</v>
      </c>
    </row>
    <row r="58" spans="1:7" x14ac:dyDescent="0.25">
      <c r="A58">
        <v>20203</v>
      </c>
      <c r="B58" t="s">
        <v>217</v>
      </c>
      <c r="C58" t="s">
        <v>117</v>
      </c>
      <c r="D58" s="47" t="s">
        <v>129</v>
      </c>
      <c r="E58" s="53" t="s">
        <v>218</v>
      </c>
      <c r="F58" s="47" t="s">
        <v>129</v>
      </c>
      <c r="G58" t="s">
        <v>115</v>
      </c>
    </row>
    <row r="59" spans="1:7" x14ac:dyDescent="0.25">
      <c r="A59">
        <v>20202</v>
      </c>
      <c r="B59" t="s">
        <v>219</v>
      </c>
      <c r="C59" t="s">
        <v>117</v>
      </c>
      <c r="D59" s="47" t="s">
        <v>129</v>
      </c>
      <c r="E59" s="53" t="s">
        <v>220</v>
      </c>
      <c r="F59" s="47" t="s">
        <v>129</v>
      </c>
      <c r="G59" t="s">
        <v>115</v>
      </c>
    </row>
    <row r="60" spans="1:7" x14ac:dyDescent="0.25">
      <c r="A60">
        <v>20201</v>
      </c>
      <c r="B60" t="s">
        <v>221</v>
      </c>
      <c r="C60" t="s">
        <v>117</v>
      </c>
      <c r="D60" s="47" t="s">
        <v>129</v>
      </c>
      <c r="E60" s="53" t="s">
        <v>222</v>
      </c>
      <c r="F60" s="47" t="s">
        <v>129</v>
      </c>
      <c r="G60" t="s">
        <v>115</v>
      </c>
    </row>
    <row r="61" spans="1:7" x14ac:dyDescent="0.25">
      <c r="A61">
        <v>20200</v>
      </c>
      <c r="B61" t="s">
        <v>223</v>
      </c>
      <c r="C61" t="s">
        <v>117</v>
      </c>
      <c r="D61" s="47" t="s">
        <v>129</v>
      </c>
      <c r="E61" s="53" t="s">
        <v>224</v>
      </c>
      <c r="F61" s="47" t="s">
        <v>129</v>
      </c>
      <c r="G61" t="s">
        <v>115</v>
      </c>
    </row>
    <row r="62" spans="1:7" x14ac:dyDescent="0.25">
      <c r="A62">
        <v>20199</v>
      </c>
      <c r="B62" t="s">
        <v>225</v>
      </c>
      <c r="C62" t="s">
        <v>117</v>
      </c>
      <c r="D62" s="47" t="s">
        <v>129</v>
      </c>
      <c r="E62" s="53" t="s">
        <v>226</v>
      </c>
      <c r="F62" s="47" t="s">
        <v>129</v>
      </c>
      <c r="G62" t="s">
        <v>115</v>
      </c>
    </row>
    <row r="63" spans="1:7" x14ac:dyDescent="0.25">
      <c r="A63">
        <v>20198</v>
      </c>
      <c r="B63" t="s">
        <v>227</v>
      </c>
      <c r="C63" t="s">
        <v>117</v>
      </c>
      <c r="D63" s="47" t="s">
        <v>129</v>
      </c>
      <c r="E63" s="53" t="s">
        <v>228</v>
      </c>
      <c r="F63" s="47" t="s">
        <v>129</v>
      </c>
      <c r="G63" t="s">
        <v>115</v>
      </c>
    </row>
    <row r="64" spans="1:7" x14ac:dyDescent="0.25">
      <c r="A64">
        <v>20197</v>
      </c>
      <c r="B64" t="s">
        <v>229</v>
      </c>
      <c r="C64" t="s">
        <v>117</v>
      </c>
      <c r="D64" s="47" t="s">
        <v>129</v>
      </c>
      <c r="E64" s="53" t="s">
        <v>230</v>
      </c>
      <c r="F64" s="47" t="s">
        <v>129</v>
      </c>
      <c r="G64" t="s">
        <v>115</v>
      </c>
    </row>
    <row r="65" spans="1:7" x14ac:dyDescent="0.25">
      <c r="A65">
        <v>20196</v>
      </c>
      <c r="B65" t="s">
        <v>231</v>
      </c>
      <c r="C65" t="s">
        <v>117</v>
      </c>
      <c r="D65" s="47" t="s">
        <v>129</v>
      </c>
      <c r="E65" s="53" t="s">
        <v>232</v>
      </c>
      <c r="F65" s="47" t="s">
        <v>129</v>
      </c>
      <c r="G65" t="s">
        <v>115</v>
      </c>
    </row>
    <row r="66" spans="1:7" x14ac:dyDescent="0.25">
      <c r="A66">
        <v>20205</v>
      </c>
      <c r="B66" t="s">
        <v>233</v>
      </c>
      <c r="C66" t="s">
        <v>117</v>
      </c>
      <c r="D66" s="47" t="s">
        <v>129</v>
      </c>
      <c r="E66" s="53" t="s">
        <v>234</v>
      </c>
      <c r="F66" s="47" t="s">
        <v>129</v>
      </c>
      <c r="G66" t="s">
        <v>115</v>
      </c>
    </row>
    <row r="67" spans="1:7" x14ac:dyDescent="0.25">
      <c r="A67">
        <v>20204</v>
      </c>
      <c r="B67" t="s">
        <v>235</v>
      </c>
      <c r="C67" t="s">
        <v>117</v>
      </c>
      <c r="D67" s="47" t="s">
        <v>129</v>
      </c>
      <c r="E67" s="53" t="s">
        <v>236</v>
      </c>
      <c r="F67" s="47" t="s">
        <v>129</v>
      </c>
      <c r="G67" t="s">
        <v>115</v>
      </c>
    </row>
    <row r="68" spans="1:7" x14ac:dyDescent="0.25">
      <c r="A68">
        <v>20194</v>
      </c>
      <c r="B68" t="s">
        <v>149</v>
      </c>
      <c r="C68" t="s">
        <v>138</v>
      </c>
      <c r="D68" s="47" t="s">
        <v>129</v>
      </c>
      <c r="E68" s="53" t="s">
        <v>237</v>
      </c>
      <c r="F68" s="47" t="s">
        <v>129</v>
      </c>
      <c r="G68" t="s">
        <v>115</v>
      </c>
    </row>
    <row r="69" spans="1:7" x14ac:dyDescent="0.25">
      <c r="A69">
        <v>20193</v>
      </c>
      <c r="B69" t="s">
        <v>149</v>
      </c>
      <c r="C69" t="s">
        <v>144</v>
      </c>
      <c r="D69" s="47" t="s">
        <v>129</v>
      </c>
      <c r="E69" s="53" t="s">
        <v>238</v>
      </c>
      <c r="F69" s="47" t="s">
        <v>129</v>
      </c>
      <c r="G69" t="s">
        <v>115</v>
      </c>
    </row>
    <row r="70" spans="1:7" x14ac:dyDescent="0.25">
      <c r="A70">
        <v>20192</v>
      </c>
      <c r="B70" t="s">
        <v>149</v>
      </c>
      <c r="C70" t="s">
        <v>135</v>
      </c>
      <c r="D70" s="47" t="s">
        <v>129</v>
      </c>
      <c r="E70" s="53" t="s">
        <v>239</v>
      </c>
      <c r="F70" s="47" t="s">
        <v>129</v>
      </c>
      <c r="G70" t="s">
        <v>115</v>
      </c>
    </row>
    <row r="71" spans="1:7" x14ac:dyDescent="0.25">
      <c r="A71">
        <v>20195</v>
      </c>
      <c r="B71" t="s">
        <v>173</v>
      </c>
      <c r="C71" t="s">
        <v>117</v>
      </c>
      <c r="D71" s="47" t="s">
        <v>129</v>
      </c>
      <c r="E71" s="53" t="s">
        <v>240</v>
      </c>
      <c r="F71" s="47" t="s">
        <v>129</v>
      </c>
      <c r="G71" t="s">
        <v>115</v>
      </c>
    </row>
    <row r="72" spans="1:7" x14ac:dyDescent="0.25">
      <c r="A72">
        <v>20190</v>
      </c>
      <c r="B72" t="s">
        <v>166</v>
      </c>
      <c r="C72" t="s">
        <v>118</v>
      </c>
      <c r="D72" s="47" t="s">
        <v>129</v>
      </c>
      <c r="E72" s="53" t="s">
        <v>241</v>
      </c>
      <c r="F72" s="47" t="s">
        <v>129</v>
      </c>
      <c r="G72" t="s">
        <v>115</v>
      </c>
    </row>
    <row r="73" spans="1:7" x14ac:dyDescent="0.25">
      <c r="A73">
        <v>20191</v>
      </c>
      <c r="B73" t="s">
        <v>127</v>
      </c>
      <c r="C73" t="s">
        <v>118</v>
      </c>
      <c r="D73" s="47" t="s">
        <v>129</v>
      </c>
      <c r="E73" s="53" t="s">
        <v>242</v>
      </c>
      <c r="F73" s="47" t="s">
        <v>129</v>
      </c>
      <c r="G73" t="s">
        <v>115</v>
      </c>
    </row>
    <row r="74" spans="1:7" x14ac:dyDescent="0.25">
      <c r="A74">
        <v>20178</v>
      </c>
      <c r="B74" t="s">
        <v>149</v>
      </c>
      <c r="C74" t="s">
        <v>117</v>
      </c>
      <c r="D74" s="47" t="s">
        <v>129</v>
      </c>
      <c r="E74" s="53" t="s">
        <v>243</v>
      </c>
      <c r="F74" s="47" t="s">
        <v>129</v>
      </c>
      <c r="G74" t="s">
        <v>115</v>
      </c>
    </row>
    <row r="75" spans="1:7" x14ac:dyDescent="0.25">
      <c r="A75">
        <v>20177</v>
      </c>
      <c r="B75" t="s">
        <v>149</v>
      </c>
      <c r="C75" t="s">
        <v>118</v>
      </c>
      <c r="D75" s="47" t="s">
        <v>129</v>
      </c>
      <c r="E75" s="53" t="s">
        <v>244</v>
      </c>
      <c r="F75" s="47" t="s">
        <v>129</v>
      </c>
      <c r="G75" t="s">
        <v>115</v>
      </c>
    </row>
    <row r="76" spans="1:7" x14ac:dyDescent="0.25">
      <c r="A76">
        <v>20179</v>
      </c>
      <c r="B76" t="s">
        <v>173</v>
      </c>
      <c r="C76" t="s">
        <v>118</v>
      </c>
      <c r="D76" s="47" t="s">
        <v>129</v>
      </c>
      <c r="E76" s="53" t="s">
        <v>245</v>
      </c>
      <c r="F76" s="47" t="s">
        <v>129</v>
      </c>
      <c r="G76" t="s">
        <v>115</v>
      </c>
    </row>
    <row r="77" spans="1:7" x14ac:dyDescent="0.25">
      <c r="A77">
        <v>20189</v>
      </c>
      <c r="B77" t="s">
        <v>235</v>
      </c>
      <c r="C77" t="s">
        <v>118</v>
      </c>
      <c r="D77" s="47" t="s">
        <v>129</v>
      </c>
      <c r="E77" s="53" t="s">
        <v>246</v>
      </c>
      <c r="F77" s="47" t="s">
        <v>129</v>
      </c>
      <c r="G77" t="s">
        <v>115</v>
      </c>
    </row>
    <row r="78" spans="1:7" x14ac:dyDescent="0.25">
      <c r="A78">
        <v>20188</v>
      </c>
      <c r="B78" t="s">
        <v>233</v>
      </c>
      <c r="C78" t="s">
        <v>118</v>
      </c>
      <c r="D78" s="47" t="s">
        <v>129</v>
      </c>
      <c r="E78" s="53" t="s">
        <v>247</v>
      </c>
      <c r="F78" s="47" t="s">
        <v>129</v>
      </c>
      <c r="G78" t="s">
        <v>115</v>
      </c>
    </row>
    <row r="79" spans="1:7" x14ac:dyDescent="0.25">
      <c r="A79">
        <v>20187</v>
      </c>
      <c r="B79" t="s">
        <v>217</v>
      </c>
      <c r="C79" t="s">
        <v>118</v>
      </c>
      <c r="D79" s="47" t="s">
        <v>129</v>
      </c>
      <c r="E79" s="53" t="s">
        <v>248</v>
      </c>
      <c r="F79" s="47" t="s">
        <v>129</v>
      </c>
      <c r="G79" t="s">
        <v>115</v>
      </c>
    </row>
    <row r="80" spans="1:7" x14ac:dyDescent="0.25">
      <c r="A80">
        <v>20186</v>
      </c>
      <c r="B80" t="s">
        <v>219</v>
      </c>
      <c r="C80" t="s">
        <v>118</v>
      </c>
      <c r="D80" s="47" t="s">
        <v>129</v>
      </c>
      <c r="E80" s="53" t="s">
        <v>249</v>
      </c>
      <c r="F80" s="47" t="s">
        <v>129</v>
      </c>
      <c r="G80" t="s">
        <v>115</v>
      </c>
    </row>
    <row r="81" spans="1:7" x14ac:dyDescent="0.25">
      <c r="A81">
        <v>20185</v>
      </c>
      <c r="B81" t="s">
        <v>221</v>
      </c>
      <c r="C81" t="s">
        <v>118</v>
      </c>
      <c r="D81" s="47" t="s">
        <v>129</v>
      </c>
      <c r="E81" s="53" t="s">
        <v>250</v>
      </c>
      <c r="F81" s="47" t="s">
        <v>129</v>
      </c>
      <c r="G81" t="s">
        <v>115</v>
      </c>
    </row>
    <row r="82" spans="1:7" x14ac:dyDescent="0.25">
      <c r="A82">
        <v>20184</v>
      </c>
      <c r="B82" t="s">
        <v>223</v>
      </c>
      <c r="C82" t="s">
        <v>118</v>
      </c>
      <c r="D82" s="47" t="s">
        <v>129</v>
      </c>
      <c r="E82" s="53" t="s">
        <v>251</v>
      </c>
      <c r="F82" s="47" t="s">
        <v>129</v>
      </c>
      <c r="G82" t="s">
        <v>115</v>
      </c>
    </row>
    <row r="83" spans="1:7" x14ac:dyDescent="0.25">
      <c r="A83">
        <v>20183</v>
      </c>
      <c r="B83" t="s">
        <v>225</v>
      </c>
      <c r="C83" t="s">
        <v>118</v>
      </c>
      <c r="D83" s="47" t="s">
        <v>129</v>
      </c>
      <c r="E83" s="53" t="s">
        <v>252</v>
      </c>
      <c r="F83" s="47" t="s">
        <v>129</v>
      </c>
      <c r="G83" t="s">
        <v>115</v>
      </c>
    </row>
    <row r="84" spans="1:7" x14ac:dyDescent="0.25">
      <c r="A84">
        <v>20182</v>
      </c>
      <c r="B84" t="s">
        <v>227</v>
      </c>
      <c r="C84" t="s">
        <v>118</v>
      </c>
      <c r="D84" s="47" t="s">
        <v>129</v>
      </c>
      <c r="E84" s="53" t="s">
        <v>253</v>
      </c>
      <c r="F84" s="47" t="s">
        <v>129</v>
      </c>
      <c r="G84" t="s">
        <v>115</v>
      </c>
    </row>
    <row r="85" spans="1:7" x14ac:dyDescent="0.25">
      <c r="A85">
        <v>20181</v>
      </c>
      <c r="B85" t="s">
        <v>229</v>
      </c>
      <c r="C85" t="s">
        <v>118</v>
      </c>
      <c r="D85" s="47" t="s">
        <v>129</v>
      </c>
      <c r="E85" s="53" t="s">
        <v>254</v>
      </c>
      <c r="F85" s="47" t="s">
        <v>129</v>
      </c>
      <c r="G85" t="s">
        <v>115</v>
      </c>
    </row>
    <row r="86" spans="1:7" x14ac:dyDescent="0.25">
      <c r="A86">
        <v>20180</v>
      </c>
      <c r="B86" t="s">
        <v>231</v>
      </c>
      <c r="C86" t="s">
        <v>118</v>
      </c>
      <c r="D86" s="47" t="s">
        <v>129</v>
      </c>
      <c r="E86" s="53" t="s">
        <v>255</v>
      </c>
      <c r="F86" s="47" t="s">
        <v>129</v>
      </c>
      <c r="G86" t="s">
        <v>115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J11"/>
  <sheetViews>
    <sheetView workbookViewId="0">
      <selection activeCell="B12" sqref="B12"/>
    </sheetView>
  </sheetViews>
  <sheetFormatPr baseColWidth="10" defaultRowHeight="15" x14ac:dyDescent="0.25"/>
  <cols>
    <col min="1" max="1" width="20.28515625" customWidth="1"/>
  </cols>
  <sheetData>
    <row r="1" spans="1:10" x14ac:dyDescent="0.25">
      <c r="A1" t="s">
        <v>6</v>
      </c>
      <c r="B1" s="8" t="s">
        <v>372</v>
      </c>
      <c r="D1" s="8"/>
      <c r="J1" s="8" t="s">
        <v>373</v>
      </c>
    </row>
    <row r="2" spans="1:10" x14ac:dyDescent="0.25">
      <c r="A2" t="s">
        <v>7</v>
      </c>
      <c r="B2" t="s">
        <v>371</v>
      </c>
      <c r="D2" s="8"/>
      <c r="J2" t="s">
        <v>8</v>
      </c>
    </row>
    <row r="3" spans="1:10" x14ac:dyDescent="0.25">
      <c r="A3" t="s">
        <v>9</v>
      </c>
      <c r="B3" t="s">
        <v>10</v>
      </c>
    </row>
    <row r="4" spans="1:10" x14ac:dyDescent="0.25">
      <c r="A4" s="85" t="s">
        <v>11</v>
      </c>
      <c r="B4" t="s">
        <v>10</v>
      </c>
    </row>
    <row r="7" spans="1:10" x14ac:dyDescent="0.25">
      <c r="A7" t="s">
        <v>32</v>
      </c>
      <c r="B7" t="s">
        <v>32</v>
      </c>
    </row>
    <row r="8" spans="1:10" x14ac:dyDescent="0.25">
      <c r="A8" t="s">
        <v>34</v>
      </c>
      <c r="B8" t="s">
        <v>33</v>
      </c>
    </row>
    <row r="10" spans="1:10" x14ac:dyDescent="0.25">
      <c r="A10" t="s">
        <v>74</v>
      </c>
      <c r="B10" t="s">
        <v>74</v>
      </c>
    </row>
    <row r="11" spans="1:10" x14ac:dyDescent="0.25">
      <c r="A11" t="s">
        <v>75</v>
      </c>
      <c r="B11" t="s">
        <v>76</v>
      </c>
    </row>
  </sheetData>
  <hyperlinks>
    <hyperlink ref="B1" r:id="rId1" display="\\pacifico-4\E\digitalizacion\CUSTODIA\DB_CUSTODIAv3.accdb" xr:uid="{00000000-0004-0000-0A00-000000000000}"/>
    <hyperlink ref="J1" r:id="rId2" xr:uid="{8E8DAA41-BF2D-4488-BACE-8FCFC0E25346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/>
  <dimension ref="A1:K321"/>
  <sheetViews>
    <sheetView zoomScale="55" zoomScaleNormal="55" workbookViewId="0">
      <selection activeCell="M20" sqref="M20"/>
    </sheetView>
  </sheetViews>
  <sheetFormatPr baseColWidth="10" defaultRowHeight="15" x14ac:dyDescent="0.25"/>
  <cols>
    <col min="1" max="1" width="13.140625" customWidth="1"/>
    <col min="5" max="6" width="11.42578125" style="81"/>
    <col min="7" max="7" width="13.42578125" style="30" bestFit="1" customWidth="1"/>
  </cols>
  <sheetData>
    <row r="1" spans="1:11" x14ac:dyDescent="0.25">
      <c r="A1" t="s">
        <v>40</v>
      </c>
      <c r="B1" t="s">
        <v>13</v>
      </c>
      <c r="C1" t="s">
        <v>77</v>
      </c>
      <c r="D1" t="s">
        <v>15</v>
      </c>
      <c r="E1" s="81" t="s">
        <v>78</v>
      </c>
      <c r="F1" s="81" t="s">
        <v>59</v>
      </c>
      <c r="G1" s="30" t="s">
        <v>79</v>
      </c>
      <c r="H1" t="s">
        <v>80</v>
      </c>
      <c r="I1" t="s">
        <v>81</v>
      </c>
      <c r="J1" t="s">
        <v>82</v>
      </c>
      <c r="K1" t="s">
        <v>83</v>
      </c>
    </row>
    <row r="2" spans="1:11" x14ac:dyDescent="0.25">
      <c r="A2">
        <v>3834</v>
      </c>
      <c r="B2" t="s">
        <v>25</v>
      </c>
      <c r="C2" t="s">
        <v>26</v>
      </c>
      <c r="D2" t="s">
        <v>89</v>
      </c>
      <c r="E2" s="81">
        <v>44032</v>
      </c>
      <c r="G2" s="30">
        <v>-347</v>
      </c>
      <c r="H2" t="s">
        <v>125</v>
      </c>
      <c r="K2" t="b">
        <v>1</v>
      </c>
    </row>
    <row r="3" spans="1:11" x14ac:dyDescent="0.25">
      <c r="A3">
        <v>3833</v>
      </c>
      <c r="B3" t="s">
        <v>25</v>
      </c>
      <c r="C3" t="s">
        <v>26</v>
      </c>
      <c r="D3" t="s">
        <v>89</v>
      </c>
      <c r="E3" s="81">
        <v>44032</v>
      </c>
      <c r="G3" s="30">
        <v>-1411.43</v>
      </c>
      <c r="H3" t="s">
        <v>125</v>
      </c>
      <c r="K3" t="b">
        <v>1</v>
      </c>
    </row>
    <row r="4" spans="1:11" x14ac:dyDescent="0.25">
      <c r="A4">
        <v>3764</v>
      </c>
      <c r="B4" t="s">
        <v>25</v>
      </c>
      <c r="C4" t="s">
        <v>50</v>
      </c>
      <c r="D4" t="s">
        <v>90</v>
      </c>
      <c r="E4" s="81">
        <v>44032</v>
      </c>
      <c r="F4" s="81">
        <v>44033</v>
      </c>
      <c r="G4" s="30">
        <v>-110100</v>
      </c>
      <c r="H4" t="s">
        <v>261</v>
      </c>
      <c r="K4" t="b">
        <v>0</v>
      </c>
    </row>
    <row r="5" spans="1:11" x14ac:dyDescent="0.25">
      <c r="A5">
        <v>3767</v>
      </c>
      <c r="B5" t="s">
        <v>25</v>
      </c>
      <c r="C5" t="s">
        <v>50</v>
      </c>
      <c r="D5" t="s">
        <v>90</v>
      </c>
      <c r="E5" s="81">
        <v>44032</v>
      </c>
      <c r="G5" s="30">
        <v>5540</v>
      </c>
      <c r="H5" t="s">
        <v>264</v>
      </c>
      <c r="K5" t="b">
        <v>0</v>
      </c>
    </row>
    <row r="6" spans="1:11" x14ac:dyDescent="0.25">
      <c r="A6">
        <v>3766</v>
      </c>
      <c r="B6" t="s">
        <v>25</v>
      </c>
      <c r="C6" t="s">
        <v>50</v>
      </c>
      <c r="D6" t="s">
        <v>90</v>
      </c>
      <c r="E6" s="81">
        <v>44032</v>
      </c>
      <c r="G6" s="30">
        <v>-59.33</v>
      </c>
      <c r="H6" t="s">
        <v>263</v>
      </c>
      <c r="K6" t="b">
        <v>1</v>
      </c>
    </row>
    <row r="7" spans="1:11" x14ac:dyDescent="0.25">
      <c r="A7">
        <v>3765</v>
      </c>
      <c r="B7" t="s">
        <v>25</v>
      </c>
      <c r="C7" t="s">
        <v>50</v>
      </c>
      <c r="D7" t="s">
        <v>90</v>
      </c>
      <c r="E7" s="81">
        <v>44032</v>
      </c>
      <c r="G7" s="30">
        <v>-103.67</v>
      </c>
      <c r="H7" t="s">
        <v>262</v>
      </c>
      <c r="K7" t="b">
        <v>1</v>
      </c>
    </row>
    <row r="8" spans="1:11" x14ac:dyDescent="0.25">
      <c r="A8">
        <v>3748</v>
      </c>
      <c r="B8" t="s">
        <v>25</v>
      </c>
      <c r="C8" t="s">
        <v>26</v>
      </c>
      <c r="D8" t="s">
        <v>89</v>
      </c>
      <c r="E8" s="81">
        <v>44031</v>
      </c>
      <c r="F8" s="81">
        <v>44032</v>
      </c>
      <c r="G8" s="30">
        <v>500</v>
      </c>
      <c r="H8" t="s">
        <v>125</v>
      </c>
      <c r="K8" t="b">
        <v>0</v>
      </c>
    </row>
    <row r="9" spans="1:11" x14ac:dyDescent="0.25">
      <c r="A9">
        <v>3733</v>
      </c>
      <c r="B9" t="s">
        <v>25</v>
      </c>
      <c r="C9" t="s">
        <v>26</v>
      </c>
      <c r="D9" t="s">
        <v>89</v>
      </c>
      <c r="E9" s="81">
        <v>44030</v>
      </c>
      <c r="F9" s="81">
        <v>44032</v>
      </c>
      <c r="G9" s="30">
        <v>40</v>
      </c>
      <c r="H9" t="s">
        <v>125</v>
      </c>
      <c r="K9" t="b">
        <v>0</v>
      </c>
    </row>
    <row r="10" spans="1:11" x14ac:dyDescent="0.25">
      <c r="A10">
        <v>3715</v>
      </c>
      <c r="B10" t="s">
        <v>25</v>
      </c>
      <c r="C10" t="s">
        <v>26</v>
      </c>
      <c r="D10" t="s">
        <v>89</v>
      </c>
      <c r="E10" s="81">
        <v>44029</v>
      </c>
      <c r="F10" s="81">
        <v>44032</v>
      </c>
      <c r="G10" s="30">
        <v>-15540</v>
      </c>
      <c r="H10" t="s">
        <v>259</v>
      </c>
      <c r="K10" t="b">
        <v>0</v>
      </c>
    </row>
    <row r="11" spans="1:11" x14ac:dyDescent="0.25">
      <c r="A11">
        <v>3714</v>
      </c>
      <c r="B11" t="s">
        <v>25</v>
      </c>
      <c r="C11" t="s">
        <v>26</v>
      </c>
      <c r="D11" t="s">
        <v>89</v>
      </c>
      <c r="E11" s="81">
        <v>44029</v>
      </c>
      <c r="F11" s="81">
        <v>44030</v>
      </c>
      <c r="G11" s="30">
        <v>190</v>
      </c>
      <c r="H11" t="s">
        <v>125</v>
      </c>
      <c r="K11" t="b">
        <v>0</v>
      </c>
    </row>
    <row r="12" spans="1:11" x14ac:dyDescent="0.25">
      <c r="A12">
        <v>3716</v>
      </c>
      <c r="B12" t="s">
        <v>25</v>
      </c>
      <c r="C12" t="s">
        <v>50</v>
      </c>
      <c r="D12" t="s">
        <v>90</v>
      </c>
      <c r="E12" s="81">
        <v>44029</v>
      </c>
      <c r="F12" s="81">
        <v>44030</v>
      </c>
      <c r="G12" s="30">
        <v>91.56</v>
      </c>
      <c r="H12" t="s">
        <v>125</v>
      </c>
      <c r="K12" t="b">
        <v>0</v>
      </c>
    </row>
    <row r="13" spans="1:11" x14ac:dyDescent="0.25">
      <c r="A13">
        <v>3701</v>
      </c>
      <c r="B13" t="s">
        <v>25</v>
      </c>
      <c r="C13" t="s">
        <v>50</v>
      </c>
      <c r="D13" t="s">
        <v>90</v>
      </c>
      <c r="E13" s="81">
        <v>44028</v>
      </c>
      <c r="F13" s="81">
        <v>44032</v>
      </c>
      <c r="G13" s="30">
        <v>-50</v>
      </c>
      <c r="H13" t="s">
        <v>267</v>
      </c>
      <c r="I13" t="s">
        <v>268</v>
      </c>
      <c r="K13" t="b">
        <v>0</v>
      </c>
    </row>
    <row r="14" spans="1:11" x14ac:dyDescent="0.25">
      <c r="A14">
        <v>3672</v>
      </c>
      <c r="B14" t="s">
        <v>25</v>
      </c>
      <c r="C14" t="s">
        <v>26</v>
      </c>
      <c r="D14" t="s">
        <v>89</v>
      </c>
      <c r="E14" s="81">
        <v>44027</v>
      </c>
      <c r="F14" s="81">
        <v>44028</v>
      </c>
      <c r="G14" s="30">
        <v>500</v>
      </c>
      <c r="H14" t="s">
        <v>125</v>
      </c>
      <c r="K14" t="b">
        <v>0</v>
      </c>
    </row>
    <row r="15" spans="1:11" x14ac:dyDescent="0.25">
      <c r="A15">
        <v>3671</v>
      </c>
      <c r="B15" t="s">
        <v>25</v>
      </c>
      <c r="C15" t="s">
        <v>26</v>
      </c>
      <c r="D15" t="s">
        <v>89</v>
      </c>
      <c r="E15" s="81">
        <v>44027</v>
      </c>
      <c r="F15" s="81">
        <v>44028</v>
      </c>
      <c r="G15" s="30">
        <v>1760</v>
      </c>
      <c r="H15" t="s">
        <v>125</v>
      </c>
      <c r="K15" t="b">
        <v>0</v>
      </c>
    </row>
    <row r="16" spans="1:11" x14ac:dyDescent="0.25">
      <c r="A16">
        <v>3673</v>
      </c>
      <c r="B16" t="s">
        <v>25</v>
      </c>
      <c r="C16" t="s">
        <v>50</v>
      </c>
      <c r="D16" t="s">
        <v>90</v>
      </c>
      <c r="E16" s="81">
        <v>44027</v>
      </c>
      <c r="F16" s="81">
        <v>44028</v>
      </c>
      <c r="G16" s="30">
        <v>299</v>
      </c>
      <c r="H16" t="s">
        <v>125</v>
      </c>
      <c r="K16" t="b">
        <v>0</v>
      </c>
    </row>
    <row r="17" spans="1:11" x14ac:dyDescent="0.25">
      <c r="A17">
        <v>3653</v>
      </c>
      <c r="B17" t="s">
        <v>25</v>
      </c>
      <c r="C17" t="s">
        <v>26</v>
      </c>
      <c r="D17" t="s">
        <v>89</v>
      </c>
      <c r="E17" s="81">
        <v>44026</v>
      </c>
      <c r="F17" s="81">
        <v>44027</v>
      </c>
      <c r="G17" s="30">
        <v>66.14</v>
      </c>
      <c r="H17" t="s">
        <v>125</v>
      </c>
      <c r="K17" t="b">
        <v>0</v>
      </c>
    </row>
    <row r="18" spans="1:11" x14ac:dyDescent="0.25">
      <c r="A18">
        <v>3632</v>
      </c>
      <c r="B18" t="s">
        <v>25</v>
      </c>
      <c r="C18" t="s">
        <v>26</v>
      </c>
      <c r="D18" t="s">
        <v>89</v>
      </c>
      <c r="E18" s="81">
        <v>44023</v>
      </c>
      <c r="F18" s="81">
        <v>44025</v>
      </c>
      <c r="G18" s="30">
        <v>3500</v>
      </c>
      <c r="H18" t="s">
        <v>125</v>
      </c>
      <c r="K18" t="b">
        <v>0</v>
      </c>
    </row>
    <row r="19" spans="1:11" x14ac:dyDescent="0.25">
      <c r="A19">
        <v>3631</v>
      </c>
      <c r="B19" t="s">
        <v>25</v>
      </c>
      <c r="C19" t="s">
        <v>26</v>
      </c>
      <c r="D19" t="s">
        <v>89</v>
      </c>
      <c r="E19" s="81">
        <v>44023</v>
      </c>
      <c r="F19" s="81">
        <v>44025</v>
      </c>
      <c r="G19" s="30">
        <v>500</v>
      </c>
      <c r="H19" t="s">
        <v>125</v>
      </c>
      <c r="K19" t="b">
        <v>0</v>
      </c>
    </row>
    <row r="20" spans="1:11" x14ac:dyDescent="0.25">
      <c r="A20">
        <v>3630</v>
      </c>
      <c r="B20" t="s">
        <v>25</v>
      </c>
      <c r="C20" t="s">
        <v>26</v>
      </c>
      <c r="D20" t="s">
        <v>89</v>
      </c>
      <c r="E20" s="81">
        <v>44023</v>
      </c>
      <c r="F20" s="81">
        <v>44025</v>
      </c>
      <c r="G20" s="30">
        <v>2800</v>
      </c>
      <c r="H20" t="s">
        <v>125</v>
      </c>
      <c r="K20" t="b">
        <v>0</v>
      </c>
    </row>
    <row r="21" spans="1:11" x14ac:dyDescent="0.25">
      <c r="A21">
        <v>3618</v>
      </c>
      <c r="B21" t="s">
        <v>25</v>
      </c>
      <c r="C21" t="s">
        <v>26</v>
      </c>
      <c r="D21" t="s">
        <v>89</v>
      </c>
      <c r="E21" s="81">
        <v>44022</v>
      </c>
      <c r="F21" s="81">
        <v>44023</v>
      </c>
      <c r="G21" s="30">
        <v>-21.5</v>
      </c>
      <c r="H21" t="s">
        <v>269</v>
      </c>
      <c r="K21" t="b">
        <v>0</v>
      </c>
    </row>
    <row r="22" spans="1:11" x14ac:dyDescent="0.25">
      <c r="A22">
        <v>3617</v>
      </c>
      <c r="B22" t="s">
        <v>25</v>
      </c>
      <c r="C22" t="s">
        <v>26</v>
      </c>
      <c r="D22" t="s">
        <v>89</v>
      </c>
      <c r="E22" s="81">
        <v>44022</v>
      </c>
      <c r="F22" s="81">
        <v>44023</v>
      </c>
      <c r="G22" s="30">
        <v>2000</v>
      </c>
      <c r="H22" t="s">
        <v>125</v>
      </c>
      <c r="K22" t="b">
        <v>0</v>
      </c>
    </row>
    <row r="23" spans="1:11" x14ac:dyDescent="0.25">
      <c r="A23">
        <v>3595</v>
      </c>
      <c r="B23" t="s">
        <v>25</v>
      </c>
      <c r="C23" t="s">
        <v>26</v>
      </c>
      <c r="D23" t="s">
        <v>89</v>
      </c>
      <c r="E23" s="81">
        <v>44020</v>
      </c>
      <c r="F23" s="81">
        <v>44021</v>
      </c>
      <c r="G23" s="30">
        <v>3700</v>
      </c>
      <c r="H23" t="s">
        <v>270</v>
      </c>
      <c r="I23" t="s">
        <v>271</v>
      </c>
      <c r="K23" t="b">
        <v>0</v>
      </c>
    </row>
    <row r="24" spans="1:11" x14ac:dyDescent="0.25">
      <c r="A24">
        <v>3596</v>
      </c>
      <c r="B24" t="s">
        <v>25</v>
      </c>
      <c r="C24" t="s">
        <v>50</v>
      </c>
      <c r="D24" t="s">
        <v>90</v>
      </c>
      <c r="E24" s="81">
        <v>44020</v>
      </c>
      <c r="F24" s="81">
        <v>44021</v>
      </c>
      <c r="G24" s="30">
        <v>36</v>
      </c>
      <c r="H24" t="s">
        <v>125</v>
      </c>
      <c r="K24" t="b">
        <v>0</v>
      </c>
    </row>
    <row r="25" spans="1:11" x14ac:dyDescent="0.25">
      <c r="A25">
        <v>3571</v>
      </c>
      <c r="B25" t="s">
        <v>25</v>
      </c>
      <c r="C25" t="s">
        <v>26</v>
      </c>
      <c r="D25" t="s">
        <v>89</v>
      </c>
      <c r="E25" s="81">
        <v>44019</v>
      </c>
      <c r="F25" s="81">
        <v>44020</v>
      </c>
      <c r="G25" s="30">
        <v>1100</v>
      </c>
      <c r="H25" t="s">
        <v>125</v>
      </c>
      <c r="K25" t="b">
        <v>0</v>
      </c>
    </row>
    <row r="26" spans="1:11" x14ac:dyDescent="0.25">
      <c r="A26">
        <v>3542</v>
      </c>
      <c r="B26" t="s">
        <v>25</v>
      </c>
      <c r="C26" t="s">
        <v>26</v>
      </c>
      <c r="D26" t="s">
        <v>89</v>
      </c>
      <c r="E26" s="81">
        <v>44018</v>
      </c>
      <c r="F26" s="81">
        <v>44019</v>
      </c>
      <c r="G26" s="30">
        <v>-200050</v>
      </c>
      <c r="H26" t="s">
        <v>272</v>
      </c>
      <c r="K26" t="b">
        <v>0</v>
      </c>
    </row>
    <row r="27" spans="1:11" x14ac:dyDescent="0.25">
      <c r="A27">
        <v>3543</v>
      </c>
      <c r="B27" t="s">
        <v>25</v>
      </c>
      <c r="C27" t="s">
        <v>50</v>
      </c>
      <c r="D27" t="s">
        <v>90</v>
      </c>
      <c r="E27" s="81">
        <v>44018</v>
      </c>
      <c r="F27" s="81">
        <v>44019</v>
      </c>
      <c r="G27" s="30">
        <v>-50000</v>
      </c>
      <c r="H27" t="s">
        <v>273</v>
      </c>
      <c r="K27" t="b">
        <v>0</v>
      </c>
    </row>
    <row r="28" spans="1:11" x14ac:dyDescent="0.25">
      <c r="A28">
        <v>3702</v>
      </c>
      <c r="B28" t="s">
        <v>25</v>
      </c>
      <c r="C28" t="s">
        <v>26</v>
      </c>
      <c r="D28" t="s">
        <v>89</v>
      </c>
      <c r="E28" s="81">
        <v>44016</v>
      </c>
      <c r="F28" s="81">
        <v>44029</v>
      </c>
      <c r="G28" s="30">
        <v>-7.5</v>
      </c>
      <c r="H28" t="s">
        <v>274</v>
      </c>
      <c r="I28" t="s">
        <v>275</v>
      </c>
      <c r="K28" t="b">
        <v>0</v>
      </c>
    </row>
    <row r="29" spans="1:11" x14ac:dyDescent="0.25">
      <c r="A29">
        <v>3520</v>
      </c>
      <c r="B29" t="s">
        <v>25</v>
      </c>
      <c r="C29" t="s">
        <v>50</v>
      </c>
      <c r="D29" t="s">
        <v>90</v>
      </c>
      <c r="E29" s="81">
        <v>44016</v>
      </c>
      <c r="F29" s="81">
        <v>44018</v>
      </c>
      <c r="G29" s="30">
        <v>850</v>
      </c>
      <c r="H29" t="s">
        <v>125</v>
      </c>
      <c r="K29" t="b">
        <v>0</v>
      </c>
    </row>
    <row r="30" spans="1:11" x14ac:dyDescent="0.25">
      <c r="A30">
        <v>3486</v>
      </c>
      <c r="B30" t="s">
        <v>25</v>
      </c>
      <c r="C30" t="s">
        <v>26</v>
      </c>
      <c r="D30" t="s">
        <v>89</v>
      </c>
      <c r="E30" s="81">
        <v>44014</v>
      </c>
      <c r="F30" s="81">
        <v>44015</v>
      </c>
      <c r="G30" s="30">
        <v>2400</v>
      </c>
      <c r="H30" t="s">
        <v>125</v>
      </c>
      <c r="K30" t="b">
        <v>0</v>
      </c>
    </row>
    <row r="31" spans="1:11" x14ac:dyDescent="0.25">
      <c r="A31">
        <v>3487</v>
      </c>
      <c r="B31" t="s">
        <v>25</v>
      </c>
      <c r="C31" t="s">
        <v>26</v>
      </c>
      <c r="D31" t="s">
        <v>89</v>
      </c>
      <c r="E31" s="81">
        <v>44014</v>
      </c>
      <c r="F31" s="81">
        <v>44015</v>
      </c>
      <c r="G31" s="30">
        <v>550</v>
      </c>
      <c r="H31" t="s">
        <v>125</v>
      </c>
      <c r="K31" t="b">
        <v>0</v>
      </c>
    </row>
    <row r="32" spans="1:11" x14ac:dyDescent="0.25">
      <c r="A32">
        <v>3489</v>
      </c>
      <c r="B32" t="s">
        <v>25</v>
      </c>
      <c r="C32" t="s">
        <v>50</v>
      </c>
      <c r="D32" t="s">
        <v>90</v>
      </c>
      <c r="E32" s="81">
        <v>44014</v>
      </c>
      <c r="F32" s="81">
        <v>44015</v>
      </c>
      <c r="G32" s="30">
        <v>300</v>
      </c>
      <c r="H32" t="s">
        <v>125</v>
      </c>
      <c r="K32" t="b">
        <v>0</v>
      </c>
    </row>
    <row r="33" spans="1:11" x14ac:dyDescent="0.25">
      <c r="A33">
        <v>3488</v>
      </c>
      <c r="B33" t="s">
        <v>25</v>
      </c>
      <c r="C33" t="s">
        <v>50</v>
      </c>
      <c r="D33" t="s">
        <v>90</v>
      </c>
      <c r="E33" s="81">
        <v>44014</v>
      </c>
      <c r="F33" s="81">
        <v>44015</v>
      </c>
      <c r="G33" s="30">
        <v>180</v>
      </c>
      <c r="H33" t="s">
        <v>125</v>
      </c>
      <c r="K33" t="b">
        <v>0</v>
      </c>
    </row>
    <row r="34" spans="1:11" x14ac:dyDescent="0.25">
      <c r="A34">
        <v>3459</v>
      </c>
      <c r="B34" t="s">
        <v>25</v>
      </c>
      <c r="C34" t="s">
        <v>26</v>
      </c>
      <c r="D34" t="s">
        <v>89</v>
      </c>
      <c r="E34" s="81">
        <v>44013</v>
      </c>
      <c r="F34" s="81">
        <v>44014</v>
      </c>
      <c r="G34" s="30">
        <v>500</v>
      </c>
      <c r="H34" t="s">
        <v>125</v>
      </c>
      <c r="K34" t="b">
        <v>0</v>
      </c>
    </row>
    <row r="35" spans="1:11" x14ac:dyDescent="0.25">
      <c r="A35">
        <v>3429</v>
      </c>
      <c r="B35" t="s">
        <v>25</v>
      </c>
      <c r="C35" t="s">
        <v>26</v>
      </c>
      <c r="D35" t="s">
        <v>89</v>
      </c>
      <c r="E35" s="81">
        <v>44012</v>
      </c>
      <c r="F35" s="81">
        <v>44013</v>
      </c>
      <c r="G35" s="30">
        <v>900</v>
      </c>
      <c r="H35" t="s">
        <v>125</v>
      </c>
      <c r="K35" t="b">
        <v>0</v>
      </c>
    </row>
    <row r="36" spans="1:11" x14ac:dyDescent="0.25">
      <c r="A36">
        <v>3404</v>
      </c>
      <c r="B36" t="s">
        <v>25</v>
      </c>
      <c r="C36" t="s">
        <v>26</v>
      </c>
      <c r="D36" t="s">
        <v>89</v>
      </c>
      <c r="E36" s="81">
        <v>44009</v>
      </c>
      <c r="F36" s="81">
        <v>44012</v>
      </c>
      <c r="G36" s="30">
        <v>114.9</v>
      </c>
      <c r="H36" t="s">
        <v>125</v>
      </c>
      <c r="K36" t="b">
        <v>0</v>
      </c>
    </row>
    <row r="37" spans="1:11" x14ac:dyDescent="0.25">
      <c r="A37">
        <v>3380</v>
      </c>
      <c r="B37" t="s">
        <v>25</v>
      </c>
      <c r="C37" t="s">
        <v>26</v>
      </c>
      <c r="D37" t="s">
        <v>89</v>
      </c>
      <c r="E37" s="81">
        <v>44007</v>
      </c>
      <c r="F37" s="81">
        <v>44008</v>
      </c>
      <c r="G37" s="30">
        <v>700</v>
      </c>
      <c r="H37" t="s">
        <v>125</v>
      </c>
      <c r="K37" t="b">
        <v>0</v>
      </c>
    </row>
    <row r="38" spans="1:11" x14ac:dyDescent="0.25">
      <c r="A38">
        <v>3384</v>
      </c>
      <c r="B38" t="s">
        <v>25</v>
      </c>
      <c r="C38" t="s">
        <v>26</v>
      </c>
      <c r="D38" t="s">
        <v>89</v>
      </c>
      <c r="E38" s="81">
        <v>44007</v>
      </c>
      <c r="F38" s="81">
        <v>44008</v>
      </c>
      <c r="G38" s="30">
        <v>800</v>
      </c>
      <c r="H38" t="s">
        <v>125</v>
      </c>
      <c r="K38" t="b">
        <v>0</v>
      </c>
    </row>
    <row r="39" spans="1:11" x14ac:dyDescent="0.25">
      <c r="A39">
        <v>3383</v>
      </c>
      <c r="B39" t="s">
        <v>25</v>
      </c>
      <c r="C39" t="s">
        <v>26</v>
      </c>
      <c r="D39" t="s">
        <v>89</v>
      </c>
      <c r="E39" s="81">
        <v>44007</v>
      </c>
      <c r="F39" s="81">
        <v>44008</v>
      </c>
      <c r="G39" s="30">
        <v>75</v>
      </c>
      <c r="H39" t="s">
        <v>125</v>
      </c>
      <c r="K39" t="b">
        <v>0</v>
      </c>
    </row>
    <row r="40" spans="1:11" x14ac:dyDescent="0.25">
      <c r="A40">
        <v>3382</v>
      </c>
      <c r="B40" t="s">
        <v>25</v>
      </c>
      <c r="C40" t="s">
        <v>26</v>
      </c>
      <c r="D40" t="s">
        <v>89</v>
      </c>
      <c r="E40" s="81">
        <v>44007</v>
      </c>
      <c r="F40" s="81">
        <v>44008</v>
      </c>
      <c r="G40" s="30">
        <v>200</v>
      </c>
      <c r="H40" t="s">
        <v>125</v>
      </c>
      <c r="K40" t="b">
        <v>0</v>
      </c>
    </row>
    <row r="41" spans="1:11" x14ac:dyDescent="0.25">
      <c r="A41">
        <v>3381</v>
      </c>
      <c r="B41" t="s">
        <v>25</v>
      </c>
      <c r="C41" t="s">
        <v>26</v>
      </c>
      <c r="D41" t="s">
        <v>89</v>
      </c>
      <c r="E41" s="81">
        <v>44007</v>
      </c>
      <c r="F41" s="81">
        <v>44008</v>
      </c>
      <c r="G41" s="30">
        <v>190</v>
      </c>
      <c r="H41" t="s">
        <v>125</v>
      </c>
      <c r="K41" t="b">
        <v>0</v>
      </c>
    </row>
    <row r="42" spans="1:11" x14ac:dyDescent="0.25">
      <c r="A42">
        <v>3356</v>
      </c>
      <c r="B42" t="s">
        <v>25</v>
      </c>
      <c r="C42" t="s">
        <v>26</v>
      </c>
      <c r="D42" t="s">
        <v>89</v>
      </c>
      <c r="E42" s="81">
        <v>44006</v>
      </c>
      <c r="F42" s="81">
        <v>44007</v>
      </c>
      <c r="G42" s="30">
        <v>300</v>
      </c>
      <c r="H42" t="s">
        <v>125</v>
      </c>
      <c r="K42" t="b">
        <v>0</v>
      </c>
    </row>
    <row r="43" spans="1:11" x14ac:dyDescent="0.25">
      <c r="A43">
        <v>3354</v>
      </c>
      <c r="B43" t="s">
        <v>25</v>
      </c>
      <c r="C43" t="s">
        <v>26</v>
      </c>
      <c r="D43" t="s">
        <v>89</v>
      </c>
      <c r="E43" s="81">
        <v>44006</v>
      </c>
      <c r="F43" s="81">
        <v>44007</v>
      </c>
      <c r="G43" s="30">
        <v>1500</v>
      </c>
      <c r="H43" t="s">
        <v>125</v>
      </c>
      <c r="K43" t="b">
        <v>0</v>
      </c>
    </row>
    <row r="44" spans="1:11" x14ac:dyDescent="0.25">
      <c r="A44">
        <v>3355</v>
      </c>
      <c r="B44" t="s">
        <v>25</v>
      </c>
      <c r="C44" t="s">
        <v>26</v>
      </c>
      <c r="D44" t="s">
        <v>89</v>
      </c>
      <c r="E44" s="81">
        <v>44006</v>
      </c>
      <c r="F44" s="81">
        <v>44007</v>
      </c>
      <c r="G44" s="30">
        <v>1550</v>
      </c>
      <c r="H44" t="s">
        <v>125</v>
      </c>
      <c r="K44" t="b">
        <v>0</v>
      </c>
    </row>
    <row r="45" spans="1:11" x14ac:dyDescent="0.25">
      <c r="A45">
        <v>3358</v>
      </c>
      <c r="B45" t="s">
        <v>25</v>
      </c>
      <c r="C45" t="s">
        <v>26</v>
      </c>
      <c r="D45" t="s">
        <v>89</v>
      </c>
      <c r="E45" s="81">
        <v>44006</v>
      </c>
      <c r="F45" s="81">
        <v>44007</v>
      </c>
      <c r="G45" s="30">
        <v>-255000</v>
      </c>
      <c r="H45" t="s">
        <v>259</v>
      </c>
      <c r="K45" t="b">
        <v>0</v>
      </c>
    </row>
    <row r="46" spans="1:11" x14ac:dyDescent="0.25">
      <c r="A46">
        <v>3357</v>
      </c>
      <c r="B46" t="s">
        <v>25</v>
      </c>
      <c r="C46" t="s">
        <v>26</v>
      </c>
      <c r="D46" t="s">
        <v>89</v>
      </c>
      <c r="E46" s="81">
        <v>44006</v>
      </c>
      <c r="F46" s="81">
        <v>44007</v>
      </c>
      <c r="G46" s="30">
        <v>6.92</v>
      </c>
      <c r="H46" t="s">
        <v>125</v>
      </c>
      <c r="K46" t="b">
        <v>0</v>
      </c>
    </row>
    <row r="47" spans="1:11" x14ac:dyDescent="0.25">
      <c r="A47">
        <v>3359</v>
      </c>
      <c r="B47" t="s">
        <v>25</v>
      </c>
      <c r="C47" t="s">
        <v>26</v>
      </c>
      <c r="D47" t="s">
        <v>89</v>
      </c>
      <c r="E47" s="81">
        <v>44006</v>
      </c>
      <c r="F47" s="81">
        <v>44007</v>
      </c>
      <c r="G47" s="30">
        <v>-173000</v>
      </c>
      <c r="H47" t="s">
        <v>259</v>
      </c>
      <c r="K47" t="b">
        <v>0</v>
      </c>
    </row>
    <row r="48" spans="1:11" x14ac:dyDescent="0.25">
      <c r="A48">
        <v>3360</v>
      </c>
      <c r="B48" t="s">
        <v>25</v>
      </c>
      <c r="C48" t="s">
        <v>50</v>
      </c>
      <c r="D48" t="s">
        <v>90</v>
      </c>
      <c r="E48" s="81">
        <v>44006</v>
      </c>
      <c r="F48" s="81">
        <v>44007</v>
      </c>
      <c r="G48" s="30">
        <v>-140200</v>
      </c>
      <c r="H48" t="s">
        <v>259</v>
      </c>
      <c r="K48" t="b">
        <v>0</v>
      </c>
    </row>
    <row r="49" spans="1:11" x14ac:dyDescent="0.25">
      <c r="A49">
        <v>3340</v>
      </c>
      <c r="B49" t="s">
        <v>25</v>
      </c>
      <c r="C49" t="s">
        <v>26</v>
      </c>
      <c r="D49" t="s">
        <v>89</v>
      </c>
      <c r="E49" s="81">
        <v>44005</v>
      </c>
      <c r="F49" s="81">
        <v>44006</v>
      </c>
      <c r="G49" s="30">
        <v>-50</v>
      </c>
      <c r="H49" t="s">
        <v>277</v>
      </c>
      <c r="I49" t="s">
        <v>278</v>
      </c>
      <c r="K49" t="b">
        <v>0</v>
      </c>
    </row>
    <row r="50" spans="1:11" x14ac:dyDescent="0.25">
      <c r="A50">
        <v>3324</v>
      </c>
      <c r="B50" t="s">
        <v>25</v>
      </c>
      <c r="C50" t="s">
        <v>26</v>
      </c>
      <c r="D50" t="s">
        <v>89</v>
      </c>
      <c r="E50" s="81">
        <v>44004</v>
      </c>
      <c r="F50" s="81">
        <v>44005</v>
      </c>
      <c r="G50" s="30">
        <v>1410.41</v>
      </c>
      <c r="H50" t="s">
        <v>125</v>
      </c>
      <c r="K50" t="b">
        <v>0</v>
      </c>
    </row>
    <row r="51" spans="1:11" x14ac:dyDescent="0.25">
      <c r="A51">
        <v>3325</v>
      </c>
      <c r="B51" t="s">
        <v>25</v>
      </c>
      <c r="C51" t="s">
        <v>50</v>
      </c>
      <c r="D51" t="s">
        <v>90</v>
      </c>
      <c r="E51" s="81">
        <v>44004</v>
      </c>
      <c r="F51" s="81">
        <v>44005</v>
      </c>
      <c r="G51" s="30">
        <v>2500</v>
      </c>
      <c r="H51" t="s">
        <v>125</v>
      </c>
      <c r="K51" t="b">
        <v>0</v>
      </c>
    </row>
    <row r="52" spans="1:11" x14ac:dyDescent="0.25">
      <c r="A52">
        <v>3298</v>
      </c>
      <c r="B52" t="s">
        <v>25</v>
      </c>
      <c r="C52" t="s">
        <v>26</v>
      </c>
      <c r="D52" t="s">
        <v>89</v>
      </c>
      <c r="E52" s="81">
        <v>44001</v>
      </c>
      <c r="F52" s="81">
        <v>44002</v>
      </c>
      <c r="G52" s="30">
        <v>500</v>
      </c>
      <c r="H52" t="s">
        <v>125</v>
      </c>
      <c r="K52" t="b">
        <v>0</v>
      </c>
    </row>
    <row r="53" spans="1:11" x14ac:dyDescent="0.25">
      <c r="A53">
        <v>3296</v>
      </c>
      <c r="B53" t="s">
        <v>25</v>
      </c>
      <c r="C53" t="s">
        <v>26</v>
      </c>
      <c r="D53" t="s">
        <v>89</v>
      </c>
      <c r="E53" s="81">
        <v>44001</v>
      </c>
      <c r="F53" s="81">
        <v>44001</v>
      </c>
      <c r="G53" s="30">
        <v>-200000</v>
      </c>
      <c r="H53" t="s">
        <v>279</v>
      </c>
      <c r="K53" t="b">
        <v>0</v>
      </c>
    </row>
    <row r="54" spans="1:11" x14ac:dyDescent="0.25">
      <c r="A54">
        <v>3299</v>
      </c>
      <c r="B54" t="s">
        <v>25</v>
      </c>
      <c r="C54" t="s">
        <v>50</v>
      </c>
      <c r="D54" t="s">
        <v>90</v>
      </c>
      <c r="E54" s="81">
        <v>44001</v>
      </c>
      <c r="F54" s="81">
        <v>44002</v>
      </c>
      <c r="G54" s="30">
        <v>80.34</v>
      </c>
      <c r="H54" t="s">
        <v>125</v>
      </c>
      <c r="K54" t="b">
        <v>0</v>
      </c>
    </row>
    <row r="55" spans="1:11" x14ac:dyDescent="0.25">
      <c r="A55">
        <v>3297</v>
      </c>
      <c r="B55" t="s">
        <v>25</v>
      </c>
      <c r="C55" t="s">
        <v>26</v>
      </c>
      <c r="D55" t="s">
        <v>89</v>
      </c>
      <c r="E55" s="81">
        <v>44000</v>
      </c>
      <c r="F55" s="81">
        <v>44001</v>
      </c>
      <c r="G55" s="30">
        <v>-105428</v>
      </c>
      <c r="H55" t="s">
        <v>259</v>
      </c>
      <c r="K55" t="b">
        <v>0</v>
      </c>
    </row>
    <row r="56" spans="1:11" x14ac:dyDescent="0.25">
      <c r="A56">
        <v>3278</v>
      </c>
      <c r="B56" t="s">
        <v>25</v>
      </c>
      <c r="C56" t="s">
        <v>26</v>
      </c>
      <c r="D56" t="s">
        <v>89</v>
      </c>
      <c r="E56" s="81">
        <v>44000</v>
      </c>
      <c r="F56" s="81">
        <v>44001</v>
      </c>
      <c r="G56" s="30">
        <v>400</v>
      </c>
      <c r="H56" t="s">
        <v>125</v>
      </c>
      <c r="K56" t="b">
        <v>0</v>
      </c>
    </row>
    <row r="57" spans="1:11" x14ac:dyDescent="0.25">
      <c r="A57">
        <v>3268</v>
      </c>
      <c r="B57" t="s">
        <v>25</v>
      </c>
      <c r="C57" t="s">
        <v>26</v>
      </c>
      <c r="D57" t="s">
        <v>89</v>
      </c>
      <c r="E57" s="81">
        <v>43999</v>
      </c>
      <c r="F57" s="81">
        <v>44001</v>
      </c>
      <c r="G57" s="30">
        <v>-184820</v>
      </c>
      <c r="H57" t="s">
        <v>259</v>
      </c>
      <c r="K57" t="b">
        <v>0</v>
      </c>
    </row>
    <row r="58" spans="1:11" x14ac:dyDescent="0.25">
      <c r="A58">
        <v>3269</v>
      </c>
      <c r="B58" t="s">
        <v>25</v>
      </c>
      <c r="C58" t="s">
        <v>26</v>
      </c>
      <c r="D58" t="s">
        <v>89</v>
      </c>
      <c r="E58" s="81">
        <v>43999</v>
      </c>
      <c r="F58" s="81">
        <v>44000</v>
      </c>
      <c r="G58" s="30">
        <v>-7.5</v>
      </c>
      <c r="H58" t="s">
        <v>280</v>
      </c>
      <c r="I58" t="s">
        <v>281</v>
      </c>
      <c r="K58" t="b">
        <v>0</v>
      </c>
    </row>
    <row r="59" spans="1:11" x14ac:dyDescent="0.25">
      <c r="A59">
        <v>3248</v>
      </c>
      <c r="B59" t="s">
        <v>25</v>
      </c>
      <c r="C59" t="s">
        <v>26</v>
      </c>
      <c r="D59" t="s">
        <v>89</v>
      </c>
      <c r="E59" s="81">
        <v>43998</v>
      </c>
      <c r="F59" s="81">
        <v>43999</v>
      </c>
      <c r="G59" s="30">
        <v>360</v>
      </c>
      <c r="H59" t="s">
        <v>125</v>
      </c>
      <c r="K59" t="b">
        <v>0</v>
      </c>
    </row>
    <row r="60" spans="1:11" x14ac:dyDescent="0.25">
      <c r="A60">
        <v>3251</v>
      </c>
      <c r="B60" t="s">
        <v>25</v>
      </c>
      <c r="C60" t="s">
        <v>26</v>
      </c>
      <c r="D60" t="s">
        <v>89</v>
      </c>
      <c r="E60" s="81">
        <v>43998</v>
      </c>
      <c r="F60" s="81">
        <v>43999</v>
      </c>
      <c r="G60" s="30">
        <v>-77760</v>
      </c>
      <c r="H60" t="s">
        <v>259</v>
      </c>
      <c r="K60" t="b">
        <v>0</v>
      </c>
    </row>
    <row r="61" spans="1:11" x14ac:dyDescent="0.25">
      <c r="A61">
        <v>3250</v>
      </c>
      <c r="B61" t="s">
        <v>25</v>
      </c>
      <c r="C61" t="s">
        <v>26</v>
      </c>
      <c r="D61" t="s">
        <v>89</v>
      </c>
      <c r="E61" s="81">
        <v>43998</v>
      </c>
      <c r="F61" s="81">
        <v>43999</v>
      </c>
      <c r="G61" s="30">
        <v>-1863</v>
      </c>
      <c r="H61" t="s">
        <v>259</v>
      </c>
      <c r="K61" t="b">
        <v>0</v>
      </c>
    </row>
    <row r="62" spans="1:11" x14ac:dyDescent="0.25">
      <c r="A62">
        <v>3249</v>
      </c>
      <c r="B62" t="s">
        <v>25</v>
      </c>
      <c r="C62" t="s">
        <v>26</v>
      </c>
      <c r="D62" t="s">
        <v>89</v>
      </c>
      <c r="E62" s="81">
        <v>43998</v>
      </c>
      <c r="F62" s="81">
        <v>43999</v>
      </c>
      <c r="G62" s="30">
        <v>-3816</v>
      </c>
      <c r="H62" t="s">
        <v>259</v>
      </c>
      <c r="K62" t="b">
        <v>0</v>
      </c>
    </row>
    <row r="63" spans="1:11" x14ac:dyDescent="0.25">
      <c r="A63">
        <v>3252</v>
      </c>
      <c r="B63" t="s">
        <v>25</v>
      </c>
      <c r="C63" t="s">
        <v>50</v>
      </c>
      <c r="D63" t="s">
        <v>90</v>
      </c>
      <c r="E63" s="81">
        <v>43998</v>
      </c>
      <c r="F63" s="81">
        <v>43999</v>
      </c>
      <c r="G63" s="30">
        <v>-22650</v>
      </c>
      <c r="H63" t="s">
        <v>259</v>
      </c>
      <c r="K63" t="b">
        <v>0</v>
      </c>
    </row>
    <row r="64" spans="1:11" x14ac:dyDescent="0.25">
      <c r="A64">
        <v>3226</v>
      </c>
      <c r="B64" t="s">
        <v>25</v>
      </c>
      <c r="C64" t="s">
        <v>26</v>
      </c>
      <c r="D64" t="s">
        <v>89</v>
      </c>
      <c r="E64" s="81">
        <v>43997</v>
      </c>
      <c r="F64" s="81">
        <v>43998</v>
      </c>
      <c r="G64" s="30">
        <v>1000</v>
      </c>
      <c r="H64" t="s">
        <v>125</v>
      </c>
      <c r="K64" t="b">
        <v>0</v>
      </c>
    </row>
    <row r="65" spans="1:11" x14ac:dyDescent="0.25">
      <c r="A65">
        <v>3227</v>
      </c>
      <c r="B65" t="s">
        <v>25</v>
      </c>
      <c r="C65" t="s">
        <v>26</v>
      </c>
      <c r="D65" t="s">
        <v>89</v>
      </c>
      <c r="E65" s="81">
        <v>43997</v>
      </c>
      <c r="F65" s="81">
        <v>43998</v>
      </c>
      <c r="G65" s="30">
        <v>-142074</v>
      </c>
      <c r="H65" t="s">
        <v>259</v>
      </c>
      <c r="K65" t="b">
        <v>0</v>
      </c>
    </row>
    <row r="66" spans="1:11" x14ac:dyDescent="0.25">
      <c r="A66">
        <v>3228</v>
      </c>
      <c r="B66" t="s">
        <v>25</v>
      </c>
      <c r="C66" t="s">
        <v>50</v>
      </c>
      <c r="D66" t="s">
        <v>90</v>
      </c>
      <c r="E66" s="81">
        <v>43997</v>
      </c>
      <c r="F66" s="81">
        <v>43998</v>
      </c>
      <c r="G66" s="30">
        <v>-92564</v>
      </c>
      <c r="H66" t="s">
        <v>259</v>
      </c>
      <c r="K66" t="b">
        <v>0</v>
      </c>
    </row>
    <row r="67" spans="1:11" x14ac:dyDescent="0.25">
      <c r="A67">
        <v>3200</v>
      </c>
      <c r="B67" t="s">
        <v>25</v>
      </c>
      <c r="C67" t="s">
        <v>26</v>
      </c>
      <c r="D67" t="s">
        <v>89</v>
      </c>
      <c r="E67" s="81">
        <v>43995</v>
      </c>
      <c r="F67" s="81">
        <v>43997</v>
      </c>
      <c r="G67" s="30">
        <v>1610</v>
      </c>
      <c r="H67" t="s">
        <v>125</v>
      </c>
      <c r="K67" t="b">
        <v>0</v>
      </c>
    </row>
    <row r="68" spans="1:11" x14ac:dyDescent="0.25">
      <c r="A68">
        <v>3199</v>
      </c>
      <c r="B68" t="s">
        <v>25</v>
      </c>
      <c r="C68" t="s">
        <v>26</v>
      </c>
      <c r="D68" t="s">
        <v>89</v>
      </c>
      <c r="E68" s="81">
        <v>43995</v>
      </c>
      <c r="F68" s="81">
        <v>43997</v>
      </c>
      <c r="G68" s="30">
        <v>1690</v>
      </c>
      <c r="H68" t="s">
        <v>125</v>
      </c>
      <c r="K68" t="b">
        <v>0</v>
      </c>
    </row>
    <row r="69" spans="1:11" x14ac:dyDescent="0.25">
      <c r="A69">
        <v>3198</v>
      </c>
      <c r="B69" t="s">
        <v>25</v>
      </c>
      <c r="C69" t="s">
        <v>26</v>
      </c>
      <c r="D69" t="s">
        <v>89</v>
      </c>
      <c r="E69" s="81">
        <v>43995</v>
      </c>
      <c r="F69" s="81">
        <v>43997</v>
      </c>
      <c r="G69" s="30">
        <v>1700</v>
      </c>
      <c r="H69" t="s">
        <v>125</v>
      </c>
      <c r="K69" t="b">
        <v>0</v>
      </c>
    </row>
    <row r="70" spans="1:11" x14ac:dyDescent="0.25">
      <c r="A70">
        <v>3191</v>
      </c>
      <c r="B70" t="s">
        <v>25</v>
      </c>
      <c r="C70" t="s">
        <v>26</v>
      </c>
      <c r="D70" t="s">
        <v>89</v>
      </c>
      <c r="E70" s="81">
        <v>43994</v>
      </c>
      <c r="F70" s="81">
        <v>43995</v>
      </c>
      <c r="G70" s="30">
        <v>150</v>
      </c>
      <c r="H70" t="s">
        <v>125</v>
      </c>
      <c r="K70" t="b">
        <v>0</v>
      </c>
    </row>
    <row r="71" spans="1:11" x14ac:dyDescent="0.25">
      <c r="A71">
        <v>3190</v>
      </c>
      <c r="B71" t="s">
        <v>25</v>
      </c>
      <c r="C71" t="s">
        <v>26</v>
      </c>
      <c r="D71" t="s">
        <v>89</v>
      </c>
      <c r="E71" s="81">
        <v>43994</v>
      </c>
      <c r="F71" s="81">
        <v>43995</v>
      </c>
      <c r="G71" s="30">
        <v>4500</v>
      </c>
      <c r="H71" t="s">
        <v>125</v>
      </c>
      <c r="K71" t="b">
        <v>0</v>
      </c>
    </row>
    <row r="72" spans="1:11" x14ac:dyDescent="0.25">
      <c r="A72">
        <v>3189</v>
      </c>
      <c r="B72" t="s">
        <v>25</v>
      </c>
      <c r="C72" t="s">
        <v>26</v>
      </c>
      <c r="D72" t="s">
        <v>89</v>
      </c>
      <c r="E72" s="81">
        <v>43994</v>
      </c>
      <c r="F72" s="81">
        <v>43995</v>
      </c>
      <c r="G72" s="30">
        <v>100</v>
      </c>
      <c r="H72" t="s">
        <v>125</v>
      </c>
      <c r="K72" t="b">
        <v>0</v>
      </c>
    </row>
    <row r="73" spans="1:11" x14ac:dyDescent="0.25">
      <c r="A73">
        <v>3174</v>
      </c>
      <c r="B73" t="s">
        <v>25</v>
      </c>
      <c r="C73" t="s">
        <v>26</v>
      </c>
      <c r="D73" t="s">
        <v>89</v>
      </c>
      <c r="E73" s="81">
        <v>43993</v>
      </c>
      <c r="F73" s="81">
        <v>43994</v>
      </c>
      <c r="G73" s="30">
        <v>-43050</v>
      </c>
      <c r="H73" t="s">
        <v>282</v>
      </c>
      <c r="K73" t="b">
        <v>0</v>
      </c>
    </row>
    <row r="74" spans="1:11" x14ac:dyDescent="0.25">
      <c r="A74">
        <v>3175</v>
      </c>
      <c r="B74" t="s">
        <v>25</v>
      </c>
      <c r="C74" t="s">
        <v>26</v>
      </c>
      <c r="D74" t="s">
        <v>89</v>
      </c>
      <c r="E74" s="81">
        <v>43993</v>
      </c>
      <c r="F74" s="81">
        <v>43994</v>
      </c>
      <c r="G74" s="30">
        <v>-1085</v>
      </c>
      <c r="H74" t="s">
        <v>282</v>
      </c>
      <c r="K74" t="b">
        <v>0</v>
      </c>
    </row>
    <row r="75" spans="1:11" x14ac:dyDescent="0.25">
      <c r="A75">
        <v>3176</v>
      </c>
      <c r="B75" t="s">
        <v>25</v>
      </c>
      <c r="C75" t="s">
        <v>26</v>
      </c>
      <c r="D75" t="s">
        <v>89</v>
      </c>
      <c r="E75" s="81">
        <v>43993</v>
      </c>
      <c r="F75" s="81">
        <v>43994</v>
      </c>
      <c r="G75" s="30">
        <v>-10</v>
      </c>
      <c r="H75" t="s">
        <v>282</v>
      </c>
      <c r="K75" t="b">
        <v>0</v>
      </c>
    </row>
    <row r="76" spans="1:11" x14ac:dyDescent="0.25">
      <c r="A76">
        <v>3181</v>
      </c>
      <c r="B76" t="s">
        <v>25</v>
      </c>
      <c r="C76" t="s">
        <v>50</v>
      </c>
      <c r="D76" t="s">
        <v>90</v>
      </c>
      <c r="E76" s="81">
        <v>43993</v>
      </c>
      <c r="F76" s="81">
        <v>43994</v>
      </c>
      <c r="G76" s="30">
        <v>-10469</v>
      </c>
      <c r="H76" t="s">
        <v>283</v>
      </c>
      <c r="K76" t="b">
        <v>0</v>
      </c>
    </row>
    <row r="77" spans="1:11" x14ac:dyDescent="0.25">
      <c r="A77">
        <v>3177</v>
      </c>
      <c r="B77" t="s">
        <v>25</v>
      </c>
      <c r="C77" t="s">
        <v>50</v>
      </c>
      <c r="D77" t="s">
        <v>90</v>
      </c>
      <c r="E77" s="81">
        <v>43993</v>
      </c>
      <c r="F77" s="81">
        <v>43994</v>
      </c>
      <c r="G77" s="30">
        <v>230</v>
      </c>
      <c r="H77" t="s">
        <v>125</v>
      </c>
      <c r="K77" t="b">
        <v>0</v>
      </c>
    </row>
    <row r="78" spans="1:11" x14ac:dyDescent="0.25">
      <c r="A78">
        <v>3178</v>
      </c>
      <c r="B78" t="s">
        <v>25</v>
      </c>
      <c r="C78" t="s">
        <v>50</v>
      </c>
      <c r="D78" t="s">
        <v>90</v>
      </c>
      <c r="E78" s="81">
        <v>43993</v>
      </c>
      <c r="F78" s="81">
        <v>43994</v>
      </c>
      <c r="G78" s="30">
        <v>500</v>
      </c>
      <c r="H78" t="s">
        <v>125</v>
      </c>
      <c r="K78" t="b">
        <v>0</v>
      </c>
    </row>
    <row r="79" spans="1:11" x14ac:dyDescent="0.25">
      <c r="A79">
        <v>3180</v>
      </c>
      <c r="B79" t="s">
        <v>25</v>
      </c>
      <c r="C79" t="s">
        <v>50</v>
      </c>
      <c r="D79" t="s">
        <v>90</v>
      </c>
      <c r="E79" s="81">
        <v>43993</v>
      </c>
      <c r="F79" s="81">
        <v>43994</v>
      </c>
      <c r="G79" s="30">
        <v>250</v>
      </c>
      <c r="H79" t="s">
        <v>125</v>
      </c>
      <c r="K79" t="b">
        <v>0</v>
      </c>
    </row>
    <row r="80" spans="1:11" x14ac:dyDescent="0.25">
      <c r="A80">
        <v>3179</v>
      </c>
      <c r="B80" t="s">
        <v>25</v>
      </c>
      <c r="C80" t="s">
        <v>50</v>
      </c>
      <c r="D80" t="s">
        <v>90</v>
      </c>
      <c r="E80" s="81">
        <v>43993</v>
      </c>
      <c r="F80" s="81">
        <v>43994</v>
      </c>
      <c r="G80" s="30">
        <v>500</v>
      </c>
      <c r="H80" t="s">
        <v>125</v>
      </c>
      <c r="K80" t="b">
        <v>0</v>
      </c>
    </row>
    <row r="81" spans="1:11" x14ac:dyDescent="0.25">
      <c r="A81">
        <v>3158</v>
      </c>
      <c r="B81" t="s">
        <v>25</v>
      </c>
      <c r="C81" t="s">
        <v>26</v>
      </c>
      <c r="D81" t="s">
        <v>89</v>
      </c>
      <c r="E81" s="81">
        <v>43992</v>
      </c>
      <c r="F81" s="81">
        <v>43993</v>
      </c>
      <c r="G81" s="30">
        <v>1700</v>
      </c>
      <c r="H81" t="s">
        <v>125</v>
      </c>
      <c r="K81" t="b">
        <v>0</v>
      </c>
    </row>
    <row r="82" spans="1:11" x14ac:dyDescent="0.25">
      <c r="A82">
        <v>3159</v>
      </c>
      <c r="B82" t="s">
        <v>25</v>
      </c>
      <c r="C82" t="s">
        <v>26</v>
      </c>
      <c r="D82" t="s">
        <v>89</v>
      </c>
      <c r="E82" s="81">
        <v>43992</v>
      </c>
      <c r="F82" s="81">
        <v>43993</v>
      </c>
      <c r="G82" s="30">
        <v>1690</v>
      </c>
      <c r="H82" t="s">
        <v>125</v>
      </c>
      <c r="K82" t="b">
        <v>0</v>
      </c>
    </row>
    <row r="83" spans="1:11" x14ac:dyDescent="0.25">
      <c r="A83">
        <v>3160</v>
      </c>
      <c r="B83" t="s">
        <v>25</v>
      </c>
      <c r="C83" t="s">
        <v>26</v>
      </c>
      <c r="D83" t="s">
        <v>89</v>
      </c>
      <c r="E83" s="81">
        <v>43992</v>
      </c>
      <c r="F83" s="81">
        <v>43993</v>
      </c>
      <c r="G83" s="30">
        <v>1610</v>
      </c>
      <c r="H83" t="s">
        <v>125</v>
      </c>
      <c r="K83" t="b">
        <v>0</v>
      </c>
    </row>
    <row r="84" spans="1:11" x14ac:dyDescent="0.25">
      <c r="A84">
        <v>3148</v>
      </c>
      <c r="B84" t="s">
        <v>25</v>
      </c>
      <c r="C84" t="s">
        <v>26</v>
      </c>
      <c r="D84" t="s">
        <v>89</v>
      </c>
      <c r="E84" s="81">
        <v>43991</v>
      </c>
      <c r="F84" s="81">
        <v>43992</v>
      </c>
      <c r="G84" s="30">
        <v>1610</v>
      </c>
      <c r="H84" t="s">
        <v>125</v>
      </c>
      <c r="K84" t="b">
        <v>0</v>
      </c>
    </row>
    <row r="85" spans="1:11" x14ac:dyDescent="0.25">
      <c r="A85">
        <v>3147</v>
      </c>
      <c r="B85" t="s">
        <v>25</v>
      </c>
      <c r="C85" t="s">
        <v>26</v>
      </c>
      <c r="D85" t="s">
        <v>89</v>
      </c>
      <c r="E85" s="81">
        <v>43991</v>
      </c>
      <c r="F85" s="81">
        <v>43992</v>
      </c>
      <c r="G85" s="30">
        <v>1690</v>
      </c>
      <c r="H85" t="s">
        <v>125</v>
      </c>
      <c r="K85" t="b">
        <v>0</v>
      </c>
    </row>
    <row r="86" spans="1:11" x14ac:dyDescent="0.25">
      <c r="A86">
        <v>3146</v>
      </c>
      <c r="B86" t="s">
        <v>25</v>
      </c>
      <c r="C86" t="s">
        <v>26</v>
      </c>
      <c r="D86" t="s">
        <v>89</v>
      </c>
      <c r="E86" s="81">
        <v>43991</v>
      </c>
      <c r="F86" s="81">
        <v>43992</v>
      </c>
      <c r="G86" s="30">
        <v>1700</v>
      </c>
      <c r="H86" t="s">
        <v>125</v>
      </c>
      <c r="K86" t="b">
        <v>0</v>
      </c>
    </row>
    <row r="87" spans="1:11" x14ac:dyDescent="0.25">
      <c r="A87">
        <v>3149</v>
      </c>
      <c r="B87" t="s">
        <v>25</v>
      </c>
      <c r="C87" t="s">
        <v>50</v>
      </c>
      <c r="D87" t="s">
        <v>90</v>
      </c>
      <c r="E87" s="81">
        <v>43991</v>
      </c>
      <c r="F87" s="81">
        <v>43992</v>
      </c>
      <c r="G87" s="30">
        <v>20</v>
      </c>
      <c r="H87" t="s">
        <v>125</v>
      </c>
      <c r="K87" t="b">
        <v>0</v>
      </c>
    </row>
    <row r="88" spans="1:11" x14ac:dyDescent="0.25">
      <c r="A88">
        <v>3132</v>
      </c>
      <c r="B88" t="s">
        <v>25</v>
      </c>
      <c r="C88" t="s">
        <v>26</v>
      </c>
      <c r="D88" t="s">
        <v>89</v>
      </c>
      <c r="E88" s="81">
        <v>43990</v>
      </c>
      <c r="F88" s="81">
        <v>43991</v>
      </c>
      <c r="G88" s="30">
        <v>1500</v>
      </c>
      <c r="H88" t="s">
        <v>125</v>
      </c>
      <c r="K88" t="b">
        <v>0</v>
      </c>
    </row>
    <row r="89" spans="1:11" x14ac:dyDescent="0.25">
      <c r="A89">
        <v>3077</v>
      </c>
      <c r="B89" t="s">
        <v>25</v>
      </c>
      <c r="C89" t="s">
        <v>26</v>
      </c>
      <c r="D89" t="s">
        <v>89</v>
      </c>
      <c r="E89" s="81">
        <v>43986</v>
      </c>
      <c r="F89" s="81">
        <v>43987</v>
      </c>
      <c r="G89" s="30">
        <v>500</v>
      </c>
      <c r="H89" t="s">
        <v>125</v>
      </c>
      <c r="K89" t="b">
        <v>0</v>
      </c>
    </row>
    <row r="90" spans="1:11" x14ac:dyDescent="0.25">
      <c r="A90">
        <v>3076</v>
      </c>
      <c r="B90" t="s">
        <v>25</v>
      </c>
      <c r="C90" t="s">
        <v>26</v>
      </c>
      <c r="D90" t="s">
        <v>89</v>
      </c>
      <c r="E90" s="81">
        <v>43986</v>
      </c>
      <c r="F90" s="81">
        <v>43987</v>
      </c>
      <c r="G90" s="30">
        <v>-716.72</v>
      </c>
      <c r="H90" t="s">
        <v>284</v>
      </c>
      <c r="K90" t="b">
        <v>0</v>
      </c>
    </row>
    <row r="91" spans="1:11" x14ac:dyDescent="0.25">
      <c r="A91">
        <v>3078</v>
      </c>
      <c r="B91" t="s">
        <v>25</v>
      </c>
      <c r="C91" t="s">
        <v>26</v>
      </c>
      <c r="D91" t="s">
        <v>89</v>
      </c>
      <c r="E91" s="81">
        <v>43986</v>
      </c>
      <c r="F91" s="81">
        <v>43987</v>
      </c>
      <c r="G91" s="30">
        <v>2000</v>
      </c>
      <c r="H91" t="s">
        <v>125</v>
      </c>
      <c r="K91" t="b">
        <v>0</v>
      </c>
    </row>
    <row r="92" spans="1:11" x14ac:dyDescent="0.25">
      <c r="A92">
        <v>3079</v>
      </c>
      <c r="B92" t="s">
        <v>25</v>
      </c>
      <c r="C92" t="s">
        <v>26</v>
      </c>
      <c r="D92" t="s">
        <v>89</v>
      </c>
      <c r="E92" s="81">
        <v>43986</v>
      </c>
      <c r="F92" s="81">
        <v>43987</v>
      </c>
      <c r="G92" s="30">
        <v>50</v>
      </c>
      <c r="H92" t="s">
        <v>125</v>
      </c>
      <c r="K92" t="b">
        <v>0</v>
      </c>
    </row>
    <row r="93" spans="1:11" x14ac:dyDescent="0.25">
      <c r="A93">
        <v>3080</v>
      </c>
      <c r="B93" t="s">
        <v>25</v>
      </c>
      <c r="C93" t="s">
        <v>50</v>
      </c>
      <c r="D93" t="s">
        <v>90</v>
      </c>
      <c r="E93" s="81">
        <v>43986</v>
      </c>
      <c r="F93" s="81">
        <v>43987</v>
      </c>
      <c r="G93" s="30">
        <v>500</v>
      </c>
      <c r="H93" t="s">
        <v>125</v>
      </c>
      <c r="K93" t="b">
        <v>0</v>
      </c>
    </row>
    <row r="94" spans="1:11" x14ac:dyDescent="0.25">
      <c r="A94">
        <v>3081</v>
      </c>
      <c r="B94" t="s">
        <v>25</v>
      </c>
      <c r="C94" t="s">
        <v>50</v>
      </c>
      <c r="D94" t="s">
        <v>90</v>
      </c>
      <c r="E94" s="81">
        <v>43986</v>
      </c>
      <c r="F94" s="81">
        <v>43987</v>
      </c>
      <c r="G94" s="30">
        <v>206.25</v>
      </c>
      <c r="H94" t="s">
        <v>285</v>
      </c>
      <c r="K94" t="b">
        <v>0</v>
      </c>
    </row>
    <row r="95" spans="1:11" x14ac:dyDescent="0.25">
      <c r="A95">
        <v>3026</v>
      </c>
      <c r="B95" t="s">
        <v>25</v>
      </c>
      <c r="C95" t="s">
        <v>26</v>
      </c>
      <c r="D95" t="s">
        <v>89</v>
      </c>
      <c r="E95" s="81">
        <v>43984</v>
      </c>
      <c r="F95" s="81">
        <v>43985</v>
      </c>
      <c r="G95" s="30">
        <v>265</v>
      </c>
      <c r="H95" t="s">
        <v>125</v>
      </c>
      <c r="K95" t="b">
        <v>0</v>
      </c>
    </row>
    <row r="96" spans="1:11" x14ac:dyDescent="0.25">
      <c r="A96">
        <v>3025</v>
      </c>
      <c r="B96" t="s">
        <v>25</v>
      </c>
      <c r="C96" t="s">
        <v>26</v>
      </c>
      <c r="D96" t="s">
        <v>89</v>
      </c>
      <c r="E96" s="81">
        <v>43984</v>
      </c>
      <c r="F96" s="81">
        <v>43985</v>
      </c>
      <c r="G96" s="30">
        <v>690</v>
      </c>
      <c r="H96" t="s">
        <v>125</v>
      </c>
      <c r="K96" t="b">
        <v>0</v>
      </c>
    </row>
    <row r="97" spans="1:11" x14ac:dyDescent="0.25">
      <c r="A97">
        <v>3027</v>
      </c>
      <c r="B97" t="s">
        <v>25</v>
      </c>
      <c r="C97" t="s">
        <v>26</v>
      </c>
      <c r="D97" t="s">
        <v>89</v>
      </c>
      <c r="E97" s="81">
        <v>43984</v>
      </c>
      <c r="F97" s="81">
        <v>43985</v>
      </c>
      <c r="G97" s="30">
        <v>-220000</v>
      </c>
      <c r="H97" t="s">
        <v>259</v>
      </c>
      <c r="K97" t="b">
        <v>0</v>
      </c>
    </row>
    <row r="98" spans="1:11" x14ac:dyDescent="0.25">
      <c r="A98">
        <v>2994</v>
      </c>
      <c r="B98" t="s">
        <v>25</v>
      </c>
      <c r="C98" t="s">
        <v>26</v>
      </c>
      <c r="D98" t="s">
        <v>89</v>
      </c>
      <c r="E98" s="81">
        <v>43983</v>
      </c>
      <c r="F98" s="81">
        <v>43984</v>
      </c>
      <c r="G98" s="30">
        <v>500</v>
      </c>
      <c r="H98" t="s">
        <v>125</v>
      </c>
      <c r="K98" t="b">
        <v>0</v>
      </c>
    </row>
    <row r="99" spans="1:11" x14ac:dyDescent="0.25">
      <c r="A99">
        <v>2980</v>
      </c>
      <c r="B99" t="s">
        <v>25</v>
      </c>
      <c r="C99" t="s">
        <v>26</v>
      </c>
      <c r="D99" t="s">
        <v>89</v>
      </c>
      <c r="E99" s="81">
        <v>43982</v>
      </c>
      <c r="F99" s="81">
        <v>43983</v>
      </c>
      <c r="G99" s="30">
        <v>345</v>
      </c>
      <c r="H99" t="s">
        <v>125</v>
      </c>
      <c r="K99" t="b">
        <v>0</v>
      </c>
    </row>
    <row r="100" spans="1:11" x14ac:dyDescent="0.25">
      <c r="A100">
        <v>2981</v>
      </c>
      <c r="B100" t="s">
        <v>25</v>
      </c>
      <c r="C100" t="s">
        <v>50</v>
      </c>
      <c r="D100" t="s">
        <v>90</v>
      </c>
      <c r="E100" s="81">
        <v>43982</v>
      </c>
      <c r="F100" s="81">
        <v>43982</v>
      </c>
      <c r="G100" s="30">
        <v>-100</v>
      </c>
      <c r="H100" t="s">
        <v>286</v>
      </c>
      <c r="K100" t="b">
        <v>0</v>
      </c>
    </row>
    <row r="101" spans="1:11" x14ac:dyDescent="0.25">
      <c r="A101">
        <v>2962</v>
      </c>
      <c r="B101" t="s">
        <v>25</v>
      </c>
      <c r="C101" t="s">
        <v>26</v>
      </c>
      <c r="D101" t="s">
        <v>89</v>
      </c>
      <c r="E101" s="81">
        <v>43981</v>
      </c>
      <c r="F101" s="81">
        <v>43983</v>
      </c>
      <c r="G101" s="30">
        <v>1106</v>
      </c>
      <c r="H101" t="s">
        <v>125</v>
      </c>
      <c r="K101" t="b">
        <v>0</v>
      </c>
    </row>
    <row r="102" spans="1:11" x14ac:dyDescent="0.25">
      <c r="A102">
        <v>2963</v>
      </c>
      <c r="B102" t="s">
        <v>25</v>
      </c>
      <c r="C102" t="s">
        <v>26</v>
      </c>
      <c r="D102" t="s">
        <v>89</v>
      </c>
      <c r="E102" s="81">
        <v>43981</v>
      </c>
      <c r="F102" s="81">
        <v>43982</v>
      </c>
      <c r="G102" s="30">
        <v>-45</v>
      </c>
      <c r="H102" t="s">
        <v>287</v>
      </c>
      <c r="K102" t="b">
        <v>0</v>
      </c>
    </row>
    <row r="103" spans="1:11" x14ac:dyDescent="0.25">
      <c r="A103">
        <v>2964</v>
      </c>
      <c r="B103" t="s">
        <v>25</v>
      </c>
      <c r="C103" t="s">
        <v>50</v>
      </c>
      <c r="D103" t="s">
        <v>90</v>
      </c>
      <c r="E103" s="81">
        <v>43981</v>
      </c>
      <c r="F103" s="81">
        <v>43983</v>
      </c>
      <c r="G103" s="30">
        <v>150</v>
      </c>
      <c r="H103" t="s">
        <v>125</v>
      </c>
      <c r="K103" t="b">
        <v>0</v>
      </c>
    </row>
    <row r="104" spans="1:11" x14ac:dyDescent="0.25">
      <c r="A104">
        <v>2965</v>
      </c>
      <c r="B104" t="s">
        <v>25</v>
      </c>
      <c r="C104" t="s">
        <v>50</v>
      </c>
      <c r="D104" t="s">
        <v>90</v>
      </c>
      <c r="E104" s="81">
        <v>43981</v>
      </c>
      <c r="F104" s="81">
        <v>43982</v>
      </c>
      <c r="G104" s="30">
        <v>-15</v>
      </c>
      <c r="H104" t="s">
        <v>287</v>
      </c>
      <c r="K104" t="b">
        <v>0</v>
      </c>
    </row>
    <row r="105" spans="1:11" x14ac:dyDescent="0.25">
      <c r="A105">
        <v>2950</v>
      </c>
      <c r="B105" t="s">
        <v>25</v>
      </c>
      <c r="C105" t="s">
        <v>26</v>
      </c>
      <c r="D105" t="s">
        <v>89</v>
      </c>
      <c r="E105" s="81">
        <v>43980</v>
      </c>
      <c r="F105" s="81">
        <v>43980</v>
      </c>
      <c r="G105" s="30">
        <v>-5000</v>
      </c>
      <c r="H105" t="s">
        <v>288</v>
      </c>
      <c r="K105" t="b">
        <v>0</v>
      </c>
    </row>
    <row r="106" spans="1:11" x14ac:dyDescent="0.25">
      <c r="A106">
        <v>2903</v>
      </c>
      <c r="B106" t="s">
        <v>25</v>
      </c>
      <c r="C106" t="s">
        <v>26</v>
      </c>
      <c r="D106" t="s">
        <v>89</v>
      </c>
      <c r="E106" s="81">
        <v>43977</v>
      </c>
      <c r="F106" s="81">
        <v>43978</v>
      </c>
      <c r="G106" s="30">
        <v>-182000</v>
      </c>
      <c r="H106" t="s">
        <v>259</v>
      </c>
      <c r="K106" t="b">
        <v>0</v>
      </c>
    </row>
    <row r="107" spans="1:11" x14ac:dyDescent="0.25">
      <c r="A107">
        <v>2904</v>
      </c>
      <c r="B107" t="s">
        <v>25</v>
      </c>
      <c r="C107" t="s">
        <v>50</v>
      </c>
      <c r="D107" t="s">
        <v>90</v>
      </c>
      <c r="E107" s="81">
        <v>43977</v>
      </c>
      <c r="F107" s="81">
        <v>43978</v>
      </c>
      <c r="G107" s="30">
        <v>-60100</v>
      </c>
      <c r="H107" t="s">
        <v>259</v>
      </c>
      <c r="K107" t="b">
        <v>0</v>
      </c>
    </row>
    <row r="108" spans="1:11" x14ac:dyDescent="0.25">
      <c r="A108">
        <v>2864</v>
      </c>
      <c r="B108" t="s">
        <v>25</v>
      </c>
      <c r="C108" t="s">
        <v>26</v>
      </c>
      <c r="D108" t="s">
        <v>89</v>
      </c>
      <c r="E108" s="81">
        <v>43976</v>
      </c>
      <c r="F108" s="81">
        <v>43977</v>
      </c>
      <c r="G108" s="30">
        <v>400</v>
      </c>
      <c r="H108" t="s">
        <v>125</v>
      </c>
      <c r="K108" t="b">
        <v>0</v>
      </c>
    </row>
    <row r="109" spans="1:11" x14ac:dyDescent="0.25">
      <c r="A109">
        <v>2846</v>
      </c>
      <c r="B109" t="s">
        <v>25</v>
      </c>
      <c r="C109" t="s">
        <v>26</v>
      </c>
      <c r="D109" t="s">
        <v>89</v>
      </c>
      <c r="E109" s="81">
        <v>43974</v>
      </c>
      <c r="F109" s="81">
        <v>43977</v>
      </c>
      <c r="G109" s="30">
        <v>50</v>
      </c>
      <c r="H109" t="s">
        <v>290</v>
      </c>
      <c r="K109" t="b">
        <v>0</v>
      </c>
    </row>
    <row r="110" spans="1:11" x14ac:dyDescent="0.25">
      <c r="A110">
        <v>2844</v>
      </c>
      <c r="B110" t="s">
        <v>25</v>
      </c>
      <c r="C110" t="s">
        <v>26</v>
      </c>
      <c r="D110" t="s">
        <v>89</v>
      </c>
      <c r="E110" s="81">
        <v>43973</v>
      </c>
      <c r="F110" s="81">
        <v>43977</v>
      </c>
      <c r="G110" s="30">
        <v>-7.5</v>
      </c>
      <c r="H110" t="s">
        <v>291</v>
      </c>
      <c r="K110" t="b">
        <v>0</v>
      </c>
    </row>
    <row r="111" spans="1:11" x14ac:dyDescent="0.25">
      <c r="A111">
        <v>2843</v>
      </c>
      <c r="B111" t="s">
        <v>25</v>
      </c>
      <c r="C111" t="s">
        <v>26</v>
      </c>
      <c r="D111" t="s">
        <v>89</v>
      </c>
      <c r="E111" s="81">
        <v>43973</v>
      </c>
      <c r="F111" s="81">
        <v>43974</v>
      </c>
      <c r="G111" s="30">
        <v>4507.18</v>
      </c>
      <c r="H111" t="s">
        <v>292</v>
      </c>
      <c r="K111" t="b">
        <v>0</v>
      </c>
    </row>
    <row r="112" spans="1:11" x14ac:dyDescent="0.25">
      <c r="A112">
        <v>2842</v>
      </c>
      <c r="B112" t="s">
        <v>25</v>
      </c>
      <c r="C112" t="s">
        <v>26</v>
      </c>
      <c r="D112" t="s">
        <v>89</v>
      </c>
      <c r="E112" s="81">
        <v>43973</v>
      </c>
      <c r="F112" s="81">
        <v>43974</v>
      </c>
      <c r="G112" s="30">
        <v>5128.18</v>
      </c>
      <c r="H112" t="s">
        <v>292</v>
      </c>
      <c r="K112" t="b">
        <v>0</v>
      </c>
    </row>
    <row r="113" spans="1:11" x14ac:dyDescent="0.25">
      <c r="A113">
        <v>2841</v>
      </c>
      <c r="B113" t="s">
        <v>25</v>
      </c>
      <c r="C113" t="s">
        <v>26</v>
      </c>
      <c r="D113" t="s">
        <v>89</v>
      </c>
      <c r="E113" s="81">
        <v>43973</v>
      </c>
      <c r="F113" s="81">
        <v>43974</v>
      </c>
      <c r="G113" s="30">
        <v>174</v>
      </c>
      <c r="H113" t="s">
        <v>292</v>
      </c>
      <c r="K113" t="b">
        <v>0</v>
      </c>
    </row>
    <row r="114" spans="1:11" x14ac:dyDescent="0.25">
      <c r="A114">
        <v>2833</v>
      </c>
      <c r="B114" t="s">
        <v>25</v>
      </c>
      <c r="C114" t="s">
        <v>26</v>
      </c>
      <c r="D114" t="s">
        <v>89</v>
      </c>
      <c r="E114" s="81">
        <v>43972</v>
      </c>
      <c r="F114" s="81">
        <v>43973</v>
      </c>
      <c r="G114" s="30">
        <v>-160000</v>
      </c>
      <c r="H114" t="s">
        <v>259</v>
      </c>
      <c r="K114" t="b">
        <v>0</v>
      </c>
    </row>
    <row r="115" spans="1:11" x14ac:dyDescent="0.25">
      <c r="A115">
        <v>2828</v>
      </c>
      <c r="B115" t="s">
        <v>25</v>
      </c>
      <c r="C115" t="s">
        <v>50</v>
      </c>
      <c r="D115" t="s">
        <v>90</v>
      </c>
      <c r="E115" s="81">
        <v>43972</v>
      </c>
      <c r="F115" s="81">
        <v>43973</v>
      </c>
      <c r="G115" s="30">
        <v>60</v>
      </c>
      <c r="H115" t="s">
        <v>125</v>
      </c>
      <c r="K115" t="b">
        <v>0</v>
      </c>
    </row>
    <row r="116" spans="1:11" x14ac:dyDescent="0.25">
      <c r="A116">
        <v>2816</v>
      </c>
      <c r="B116" t="s">
        <v>25</v>
      </c>
      <c r="C116" t="s">
        <v>26</v>
      </c>
      <c r="D116" t="s">
        <v>89</v>
      </c>
      <c r="E116" s="81">
        <v>43971</v>
      </c>
      <c r="F116" s="81">
        <v>43972</v>
      </c>
      <c r="G116" s="30">
        <v>2500</v>
      </c>
      <c r="H116" t="s">
        <v>293</v>
      </c>
      <c r="K116" t="b">
        <v>0</v>
      </c>
    </row>
    <row r="117" spans="1:11" x14ac:dyDescent="0.25">
      <c r="A117">
        <v>2815</v>
      </c>
      <c r="B117" t="s">
        <v>25</v>
      </c>
      <c r="C117" t="s">
        <v>26</v>
      </c>
      <c r="D117" t="s">
        <v>89</v>
      </c>
      <c r="E117" s="81">
        <v>43971</v>
      </c>
      <c r="F117" s="81">
        <v>43972</v>
      </c>
      <c r="G117" s="30">
        <v>1410.42</v>
      </c>
      <c r="H117" t="s">
        <v>125</v>
      </c>
      <c r="K117" t="b">
        <v>0</v>
      </c>
    </row>
    <row r="118" spans="1:11" x14ac:dyDescent="0.25">
      <c r="A118">
        <v>2740</v>
      </c>
      <c r="B118" t="s">
        <v>25</v>
      </c>
      <c r="C118" t="s">
        <v>26</v>
      </c>
      <c r="D118" t="s">
        <v>89</v>
      </c>
      <c r="E118" s="81">
        <v>43966</v>
      </c>
      <c r="F118" s="81">
        <v>43969</v>
      </c>
      <c r="G118" s="30">
        <v>-400000</v>
      </c>
      <c r="H118" t="s">
        <v>294</v>
      </c>
      <c r="K118" t="b">
        <v>0</v>
      </c>
    </row>
    <row r="119" spans="1:11" x14ac:dyDescent="0.25">
      <c r="A119">
        <v>2739</v>
      </c>
      <c r="B119" t="s">
        <v>25</v>
      </c>
      <c r="C119" t="s">
        <v>26</v>
      </c>
      <c r="D119" t="s">
        <v>89</v>
      </c>
      <c r="E119" s="81">
        <v>43966</v>
      </c>
      <c r="F119" s="81">
        <v>43967</v>
      </c>
      <c r="G119" s="30">
        <v>120</v>
      </c>
      <c r="H119" t="s">
        <v>125</v>
      </c>
      <c r="K119" t="b">
        <v>0</v>
      </c>
    </row>
    <row r="120" spans="1:11" x14ac:dyDescent="0.25">
      <c r="A120">
        <v>2702</v>
      </c>
      <c r="B120" t="s">
        <v>25</v>
      </c>
      <c r="C120" t="s">
        <v>26</v>
      </c>
      <c r="D120" t="s">
        <v>89</v>
      </c>
      <c r="E120" s="81">
        <v>43965</v>
      </c>
      <c r="F120" s="81">
        <v>43969</v>
      </c>
      <c r="G120" s="30">
        <v>-5650</v>
      </c>
      <c r="H120" t="s">
        <v>296</v>
      </c>
      <c r="K120" t="b">
        <v>0</v>
      </c>
    </row>
    <row r="121" spans="1:11" x14ac:dyDescent="0.25">
      <c r="A121">
        <v>2703</v>
      </c>
      <c r="B121" t="s">
        <v>25</v>
      </c>
      <c r="C121" t="s">
        <v>26</v>
      </c>
      <c r="D121" t="s">
        <v>89</v>
      </c>
      <c r="E121" s="81">
        <v>43965</v>
      </c>
      <c r="F121" s="81">
        <v>43966</v>
      </c>
      <c r="G121" s="30">
        <v>-160000</v>
      </c>
      <c r="H121" t="s">
        <v>259</v>
      </c>
      <c r="K121" t="b">
        <v>0</v>
      </c>
    </row>
    <row r="122" spans="1:11" x14ac:dyDescent="0.25">
      <c r="A122">
        <v>2704</v>
      </c>
      <c r="B122" t="s">
        <v>25</v>
      </c>
      <c r="C122" t="s">
        <v>50</v>
      </c>
      <c r="D122" t="s">
        <v>90</v>
      </c>
      <c r="E122" s="81">
        <v>43965</v>
      </c>
      <c r="F122" s="81">
        <v>43966</v>
      </c>
      <c r="G122" s="30">
        <v>-40000</v>
      </c>
      <c r="H122" t="s">
        <v>259</v>
      </c>
      <c r="K122" t="b">
        <v>0</v>
      </c>
    </row>
    <row r="123" spans="1:11" x14ac:dyDescent="0.25">
      <c r="A123">
        <v>2668</v>
      </c>
      <c r="B123" t="s">
        <v>25</v>
      </c>
      <c r="C123" t="s">
        <v>26</v>
      </c>
      <c r="D123" t="s">
        <v>89</v>
      </c>
      <c r="E123" s="81">
        <v>43963</v>
      </c>
      <c r="F123" s="81">
        <v>43964</v>
      </c>
      <c r="G123" s="30">
        <v>190</v>
      </c>
      <c r="H123" t="s">
        <v>125</v>
      </c>
      <c r="K123" t="b">
        <v>0</v>
      </c>
    </row>
    <row r="124" spans="1:11" x14ac:dyDescent="0.25">
      <c r="A124">
        <v>2630</v>
      </c>
      <c r="B124" t="s">
        <v>25</v>
      </c>
      <c r="C124" t="s">
        <v>26</v>
      </c>
      <c r="D124" t="s">
        <v>89</v>
      </c>
      <c r="E124" s="81">
        <v>43962</v>
      </c>
      <c r="F124" s="81">
        <v>43964</v>
      </c>
      <c r="G124" s="30">
        <v>600</v>
      </c>
      <c r="H124" t="s">
        <v>125</v>
      </c>
      <c r="K124" t="b">
        <v>0</v>
      </c>
    </row>
    <row r="125" spans="1:11" x14ac:dyDescent="0.25">
      <c r="A125">
        <v>2631</v>
      </c>
      <c r="B125" t="s">
        <v>25</v>
      </c>
      <c r="C125" t="s">
        <v>26</v>
      </c>
      <c r="D125" t="s">
        <v>89</v>
      </c>
      <c r="E125" s="81">
        <v>43962</v>
      </c>
      <c r="F125" s="81">
        <v>43964</v>
      </c>
      <c r="G125" s="30">
        <v>780</v>
      </c>
      <c r="H125" t="s">
        <v>125</v>
      </c>
      <c r="K125" t="b">
        <v>0</v>
      </c>
    </row>
    <row r="126" spans="1:11" x14ac:dyDescent="0.25">
      <c r="A126">
        <v>2632</v>
      </c>
      <c r="B126" t="s">
        <v>25</v>
      </c>
      <c r="C126" t="s">
        <v>26</v>
      </c>
      <c r="D126" t="s">
        <v>89</v>
      </c>
      <c r="E126" s="81">
        <v>43962</v>
      </c>
      <c r="F126" s="81">
        <v>43964</v>
      </c>
      <c r="G126" s="30">
        <v>2000</v>
      </c>
      <c r="H126" t="s">
        <v>125</v>
      </c>
      <c r="K126" t="b">
        <v>0</v>
      </c>
    </row>
    <row r="127" spans="1:11" x14ac:dyDescent="0.25">
      <c r="A127">
        <v>2633</v>
      </c>
      <c r="B127" t="s">
        <v>25</v>
      </c>
      <c r="C127" t="s">
        <v>26</v>
      </c>
      <c r="D127" t="s">
        <v>89</v>
      </c>
      <c r="E127" s="81">
        <v>43962</v>
      </c>
      <c r="F127" s="81">
        <v>43963</v>
      </c>
      <c r="G127" s="30">
        <v>20</v>
      </c>
      <c r="H127" t="s">
        <v>125</v>
      </c>
      <c r="K127" t="b">
        <v>0</v>
      </c>
    </row>
    <row r="128" spans="1:11" x14ac:dyDescent="0.25">
      <c r="A128">
        <v>2669</v>
      </c>
      <c r="B128" t="s">
        <v>25</v>
      </c>
      <c r="C128" t="s">
        <v>26</v>
      </c>
      <c r="D128" t="s">
        <v>89</v>
      </c>
      <c r="E128" s="81">
        <v>43962</v>
      </c>
      <c r="F128" s="81">
        <v>43963</v>
      </c>
      <c r="G128" s="30">
        <v>-165000</v>
      </c>
      <c r="H128" t="s">
        <v>259</v>
      </c>
      <c r="K128" t="b">
        <v>0</v>
      </c>
    </row>
    <row r="129" spans="1:11" x14ac:dyDescent="0.25">
      <c r="A129">
        <v>2680</v>
      </c>
      <c r="B129" t="s">
        <v>25</v>
      </c>
      <c r="C129" t="s">
        <v>26</v>
      </c>
      <c r="D129" t="s">
        <v>89</v>
      </c>
      <c r="E129" s="81">
        <v>43962</v>
      </c>
      <c r="F129" s="81">
        <v>43962</v>
      </c>
      <c r="G129" s="30">
        <v>40</v>
      </c>
      <c r="H129" t="s">
        <v>258</v>
      </c>
      <c r="K129" t="b">
        <v>0</v>
      </c>
    </row>
    <row r="130" spans="1:11" x14ac:dyDescent="0.25">
      <c r="A130">
        <v>2634</v>
      </c>
      <c r="B130" t="s">
        <v>25</v>
      </c>
      <c r="C130" t="s">
        <v>50</v>
      </c>
      <c r="D130" t="s">
        <v>90</v>
      </c>
      <c r="E130" s="81">
        <v>43962</v>
      </c>
      <c r="F130" s="81">
        <v>43964</v>
      </c>
      <c r="G130" s="30">
        <v>20.100000000000001</v>
      </c>
      <c r="H130" t="s">
        <v>125</v>
      </c>
      <c r="K130" t="b">
        <v>0</v>
      </c>
    </row>
    <row r="131" spans="1:11" x14ac:dyDescent="0.25">
      <c r="A131">
        <v>2670</v>
      </c>
      <c r="B131" t="s">
        <v>25</v>
      </c>
      <c r="C131" t="s">
        <v>50</v>
      </c>
      <c r="D131" t="s">
        <v>90</v>
      </c>
      <c r="E131" s="81">
        <v>43962</v>
      </c>
      <c r="F131" s="81">
        <v>43963</v>
      </c>
      <c r="G131" s="30">
        <v>-42600</v>
      </c>
      <c r="H131" t="s">
        <v>259</v>
      </c>
      <c r="K131" t="b">
        <v>0</v>
      </c>
    </row>
    <row r="132" spans="1:11" x14ac:dyDescent="0.25">
      <c r="A132">
        <v>2608</v>
      </c>
      <c r="B132" t="s">
        <v>25</v>
      </c>
      <c r="C132" t="s">
        <v>26</v>
      </c>
      <c r="D132" t="s">
        <v>89</v>
      </c>
      <c r="E132" s="81">
        <v>43959</v>
      </c>
      <c r="F132" s="81">
        <v>43960</v>
      </c>
      <c r="G132" s="30">
        <v>5000</v>
      </c>
      <c r="H132" t="s">
        <v>125</v>
      </c>
      <c r="K132" t="b">
        <v>0</v>
      </c>
    </row>
    <row r="133" spans="1:11" x14ac:dyDescent="0.25">
      <c r="A133">
        <v>2589</v>
      </c>
      <c r="B133" t="s">
        <v>25</v>
      </c>
      <c r="C133" t="s">
        <v>26</v>
      </c>
      <c r="D133" t="s">
        <v>89</v>
      </c>
      <c r="E133" s="81">
        <v>43958</v>
      </c>
      <c r="F133" s="81">
        <v>43959</v>
      </c>
      <c r="G133" s="30">
        <v>200</v>
      </c>
      <c r="H133" t="s">
        <v>125</v>
      </c>
      <c r="K133" t="b">
        <v>0</v>
      </c>
    </row>
    <row r="134" spans="1:11" x14ac:dyDescent="0.25">
      <c r="A134">
        <v>2590</v>
      </c>
      <c r="B134" t="s">
        <v>25</v>
      </c>
      <c r="C134" t="s">
        <v>50</v>
      </c>
      <c r="D134" t="s">
        <v>90</v>
      </c>
      <c r="E134" s="81">
        <v>43958</v>
      </c>
      <c r="F134" s="81">
        <v>43959</v>
      </c>
      <c r="G134" s="30">
        <v>250</v>
      </c>
      <c r="H134" t="s">
        <v>125</v>
      </c>
      <c r="K134" t="b">
        <v>0</v>
      </c>
    </row>
    <row r="135" spans="1:11" x14ac:dyDescent="0.25">
      <c r="A135">
        <v>2561</v>
      </c>
      <c r="B135" t="s">
        <v>25</v>
      </c>
      <c r="C135" t="s">
        <v>26</v>
      </c>
      <c r="D135" t="s">
        <v>89</v>
      </c>
      <c r="E135" s="81">
        <v>43957</v>
      </c>
      <c r="F135" s="81">
        <v>43958</v>
      </c>
      <c r="G135" s="30">
        <v>55</v>
      </c>
      <c r="H135" t="s">
        <v>125</v>
      </c>
      <c r="K135" t="b">
        <v>0</v>
      </c>
    </row>
    <row r="136" spans="1:11" x14ac:dyDescent="0.25">
      <c r="A136">
        <v>2543</v>
      </c>
      <c r="B136" t="s">
        <v>25</v>
      </c>
      <c r="C136" t="s">
        <v>26</v>
      </c>
      <c r="D136" t="s">
        <v>89</v>
      </c>
      <c r="E136" s="81">
        <v>43956</v>
      </c>
      <c r="F136" s="81">
        <v>43957</v>
      </c>
      <c r="G136" s="30">
        <v>800</v>
      </c>
      <c r="H136" t="s">
        <v>125</v>
      </c>
      <c r="K136" t="b">
        <v>0</v>
      </c>
    </row>
    <row r="137" spans="1:11" x14ac:dyDescent="0.25">
      <c r="A137">
        <v>2545</v>
      </c>
      <c r="B137" t="s">
        <v>25</v>
      </c>
      <c r="C137" t="s">
        <v>26</v>
      </c>
      <c r="D137" t="s">
        <v>89</v>
      </c>
      <c r="E137" s="81">
        <v>43956</v>
      </c>
      <c r="F137" s="81">
        <v>43957</v>
      </c>
      <c r="G137" s="30">
        <v>640</v>
      </c>
      <c r="H137" t="s">
        <v>125</v>
      </c>
      <c r="K137" t="b">
        <v>0</v>
      </c>
    </row>
    <row r="138" spans="1:11" x14ac:dyDescent="0.25">
      <c r="A138">
        <v>2542</v>
      </c>
      <c r="B138" t="s">
        <v>25</v>
      </c>
      <c r="C138" t="s">
        <v>26</v>
      </c>
      <c r="D138" t="s">
        <v>89</v>
      </c>
      <c r="E138" s="81">
        <v>43956</v>
      </c>
      <c r="F138" s="81">
        <v>43957</v>
      </c>
      <c r="G138" s="30">
        <v>80</v>
      </c>
      <c r="H138" t="s">
        <v>125</v>
      </c>
      <c r="K138" t="b">
        <v>0</v>
      </c>
    </row>
    <row r="139" spans="1:11" x14ac:dyDescent="0.25">
      <c r="A139">
        <v>2547</v>
      </c>
      <c r="B139" t="s">
        <v>25</v>
      </c>
      <c r="C139" t="s">
        <v>26</v>
      </c>
      <c r="D139" t="s">
        <v>89</v>
      </c>
      <c r="E139" s="81">
        <v>43956</v>
      </c>
      <c r="F139" s="81">
        <v>43957</v>
      </c>
      <c r="G139" s="30">
        <v>-7.5</v>
      </c>
      <c r="H139" t="s">
        <v>297</v>
      </c>
      <c r="I139" t="s">
        <v>265</v>
      </c>
      <c r="K139" t="b">
        <v>0</v>
      </c>
    </row>
    <row r="140" spans="1:11" x14ac:dyDescent="0.25">
      <c r="A140">
        <v>2544</v>
      </c>
      <c r="B140" t="s">
        <v>25</v>
      </c>
      <c r="C140" t="s">
        <v>26</v>
      </c>
      <c r="D140" t="s">
        <v>89</v>
      </c>
      <c r="E140" s="81">
        <v>43956</v>
      </c>
      <c r="F140" s="81">
        <v>43957</v>
      </c>
      <c r="G140" s="30">
        <v>1800</v>
      </c>
      <c r="H140" t="s">
        <v>125</v>
      </c>
      <c r="K140" t="b">
        <v>0</v>
      </c>
    </row>
    <row r="141" spans="1:11" x14ac:dyDescent="0.25">
      <c r="A141">
        <v>2546</v>
      </c>
      <c r="B141" t="s">
        <v>25</v>
      </c>
      <c r="C141" t="s">
        <v>26</v>
      </c>
      <c r="D141" t="s">
        <v>89</v>
      </c>
      <c r="E141" s="81">
        <v>43956</v>
      </c>
      <c r="F141" s="81">
        <v>43957</v>
      </c>
      <c r="G141" s="30">
        <v>-12</v>
      </c>
      <c r="H141" t="s">
        <v>297</v>
      </c>
      <c r="I141" t="s">
        <v>298</v>
      </c>
      <c r="K141" t="b">
        <v>0</v>
      </c>
    </row>
    <row r="142" spans="1:11" x14ac:dyDescent="0.25">
      <c r="A142">
        <v>2502</v>
      </c>
      <c r="B142" t="s">
        <v>25</v>
      </c>
      <c r="C142" t="s">
        <v>26</v>
      </c>
      <c r="D142" t="s">
        <v>89</v>
      </c>
      <c r="E142" s="81">
        <v>43955</v>
      </c>
      <c r="F142" s="81">
        <v>43957</v>
      </c>
      <c r="G142" s="30">
        <v>-74000</v>
      </c>
      <c r="H142" t="s">
        <v>259</v>
      </c>
      <c r="K142" t="b">
        <v>0</v>
      </c>
    </row>
    <row r="143" spans="1:11" x14ac:dyDescent="0.25">
      <c r="A143">
        <v>2500</v>
      </c>
      <c r="B143" t="s">
        <v>25</v>
      </c>
      <c r="C143" t="s">
        <v>26</v>
      </c>
      <c r="D143" t="s">
        <v>89</v>
      </c>
      <c r="E143" s="81">
        <v>43955</v>
      </c>
      <c r="F143" s="81">
        <v>43956</v>
      </c>
      <c r="G143" s="30">
        <v>1500</v>
      </c>
      <c r="H143" t="s">
        <v>125</v>
      </c>
      <c r="K143" t="b">
        <v>0</v>
      </c>
    </row>
    <row r="144" spans="1:11" x14ac:dyDescent="0.25">
      <c r="A144">
        <v>2499</v>
      </c>
      <c r="B144" t="s">
        <v>25</v>
      </c>
      <c r="C144" t="s">
        <v>26</v>
      </c>
      <c r="D144" t="s">
        <v>89</v>
      </c>
      <c r="E144" s="81">
        <v>43955</v>
      </c>
      <c r="F144" s="81">
        <v>43956</v>
      </c>
      <c r="G144" s="30">
        <v>900</v>
      </c>
      <c r="H144" t="s">
        <v>125</v>
      </c>
      <c r="K144" t="b">
        <v>0</v>
      </c>
    </row>
    <row r="145" spans="1:11" x14ac:dyDescent="0.25">
      <c r="A145">
        <v>2501</v>
      </c>
      <c r="B145" t="s">
        <v>25</v>
      </c>
      <c r="C145" t="s">
        <v>26</v>
      </c>
      <c r="D145" t="s">
        <v>89</v>
      </c>
      <c r="E145" s="81">
        <v>43955</v>
      </c>
      <c r="F145" s="81">
        <v>43956</v>
      </c>
      <c r="G145" s="30">
        <v>1500</v>
      </c>
      <c r="H145" t="s">
        <v>125</v>
      </c>
      <c r="K145" t="b">
        <v>0</v>
      </c>
    </row>
    <row r="146" spans="1:11" x14ac:dyDescent="0.25">
      <c r="A146">
        <v>2457</v>
      </c>
      <c r="B146" t="s">
        <v>25</v>
      </c>
      <c r="C146" t="s">
        <v>26</v>
      </c>
      <c r="D146" t="s">
        <v>89</v>
      </c>
      <c r="E146" s="81">
        <v>43953</v>
      </c>
      <c r="F146" s="81">
        <v>43955</v>
      </c>
      <c r="G146" s="30">
        <v>100</v>
      </c>
      <c r="H146" t="s">
        <v>125</v>
      </c>
      <c r="K146" t="b">
        <v>0</v>
      </c>
    </row>
    <row r="147" spans="1:11" x14ac:dyDescent="0.25">
      <c r="A147">
        <v>2458</v>
      </c>
      <c r="B147" t="s">
        <v>25</v>
      </c>
      <c r="C147" t="s">
        <v>26</v>
      </c>
      <c r="D147" t="s">
        <v>89</v>
      </c>
      <c r="E147" s="81">
        <v>43953</v>
      </c>
      <c r="F147" s="81">
        <v>43955</v>
      </c>
      <c r="G147" s="30">
        <v>4100</v>
      </c>
      <c r="H147" t="s">
        <v>125</v>
      </c>
      <c r="K147" t="b">
        <v>0</v>
      </c>
    </row>
    <row r="148" spans="1:11" x14ac:dyDescent="0.25">
      <c r="A148">
        <v>2456</v>
      </c>
      <c r="B148" t="s">
        <v>25</v>
      </c>
      <c r="C148" t="s">
        <v>26</v>
      </c>
      <c r="D148" t="s">
        <v>89</v>
      </c>
      <c r="E148" s="81">
        <v>43953</v>
      </c>
      <c r="F148" s="81">
        <v>43955</v>
      </c>
      <c r="G148" s="30">
        <v>100</v>
      </c>
      <c r="H148" t="s">
        <v>125</v>
      </c>
      <c r="K148" t="b">
        <v>0</v>
      </c>
    </row>
    <row r="149" spans="1:11" x14ac:dyDescent="0.25">
      <c r="A149">
        <v>2434</v>
      </c>
      <c r="B149" t="s">
        <v>25</v>
      </c>
      <c r="C149" t="s">
        <v>26</v>
      </c>
      <c r="D149" t="s">
        <v>89</v>
      </c>
      <c r="E149" s="81">
        <v>43952</v>
      </c>
      <c r="F149" s="81">
        <v>43953</v>
      </c>
      <c r="G149" s="30">
        <v>411</v>
      </c>
      <c r="H149" t="s">
        <v>125</v>
      </c>
      <c r="K149" t="b">
        <v>0</v>
      </c>
    </row>
    <row r="150" spans="1:11" x14ac:dyDescent="0.25">
      <c r="A150">
        <v>2432</v>
      </c>
      <c r="B150" t="s">
        <v>25</v>
      </c>
      <c r="C150" t="s">
        <v>26</v>
      </c>
      <c r="D150" t="s">
        <v>89</v>
      </c>
      <c r="E150" s="81">
        <v>43952</v>
      </c>
      <c r="F150" s="81">
        <v>43953</v>
      </c>
      <c r="G150" s="30">
        <v>1350</v>
      </c>
      <c r="H150" t="s">
        <v>125</v>
      </c>
      <c r="K150" t="b">
        <v>0</v>
      </c>
    </row>
    <row r="151" spans="1:11" x14ac:dyDescent="0.25">
      <c r="A151">
        <v>2433</v>
      </c>
      <c r="B151" t="s">
        <v>25</v>
      </c>
      <c r="C151" t="s">
        <v>26</v>
      </c>
      <c r="D151" t="s">
        <v>89</v>
      </c>
      <c r="E151" s="81">
        <v>43952</v>
      </c>
      <c r="F151" s="81">
        <v>43953</v>
      </c>
      <c r="G151" s="30">
        <v>700</v>
      </c>
      <c r="H151" t="s">
        <v>125</v>
      </c>
      <c r="K151" t="b">
        <v>0</v>
      </c>
    </row>
    <row r="152" spans="1:11" x14ac:dyDescent="0.25">
      <c r="A152">
        <v>2435</v>
      </c>
      <c r="B152" t="s">
        <v>25</v>
      </c>
      <c r="C152" t="s">
        <v>50</v>
      </c>
      <c r="D152" t="s">
        <v>90</v>
      </c>
      <c r="E152" s="81">
        <v>43952</v>
      </c>
      <c r="F152" s="81">
        <v>43953</v>
      </c>
      <c r="G152" s="30">
        <v>110</v>
      </c>
      <c r="H152" t="s">
        <v>125</v>
      </c>
      <c r="K152" t="b">
        <v>0</v>
      </c>
    </row>
    <row r="153" spans="1:11" x14ac:dyDescent="0.25">
      <c r="A153">
        <v>2417</v>
      </c>
      <c r="B153" t="s">
        <v>25</v>
      </c>
      <c r="C153" t="s">
        <v>26</v>
      </c>
      <c r="D153" t="s">
        <v>89</v>
      </c>
      <c r="E153" s="81">
        <v>43951</v>
      </c>
      <c r="F153" s="81">
        <v>43953</v>
      </c>
      <c r="G153" s="30">
        <v>250</v>
      </c>
      <c r="H153" t="s">
        <v>125</v>
      </c>
      <c r="K153" t="b">
        <v>0</v>
      </c>
    </row>
    <row r="154" spans="1:11" x14ac:dyDescent="0.25">
      <c r="A154">
        <v>2418</v>
      </c>
      <c r="B154" t="s">
        <v>25</v>
      </c>
      <c r="C154" t="s">
        <v>26</v>
      </c>
      <c r="D154" t="s">
        <v>89</v>
      </c>
      <c r="E154" s="81">
        <v>43951</v>
      </c>
      <c r="F154" s="81">
        <v>43951</v>
      </c>
      <c r="G154" s="30">
        <v>-805.52</v>
      </c>
      <c r="H154" t="s">
        <v>299</v>
      </c>
      <c r="I154" t="s">
        <v>289</v>
      </c>
      <c r="K154" t="b">
        <v>0</v>
      </c>
    </row>
    <row r="155" spans="1:11" x14ac:dyDescent="0.25">
      <c r="A155">
        <v>2393</v>
      </c>
      <c r="B155" t="s">
        <v>25</v>
      </c>
      <c r="C155" t="s">
        <v>26</v>
      </c>
      <c r="D155" t="s">
        <v>89</v>
      </c>
      <c r="E155" s="81">
        <v>43950</v>
      </c>
      <c r="F155" s="81">
        <v>43951</v>
      </c>
      <c r="G155" s="30">
        <v>2000</v>
      </c>
      <c r="H155" t="s">
        <v>125</v>
      </c>
      <c r="K155" t="b">
        <v>0</v>
      </c>
    </row>
    <row r="156" spans="1:11" x14ac:dyDescent="0.25">
      <c r="A156">
        <v>2373</v>
      </c>
      <c r="B156" t="s">
        <v>25</v>
      </c>
      <c r="C156" t="s">
        <v>26</v>
      </c>
      <c r="D156" t="s">
        <v>89</v>
      </c>
      <c r="E156" s="81">
        <v>43949</v>
      </c>
      <c r="F156" s="81">
        <v>43950</v>
      </c>
      <c r="G156" s="30">
        <v>1500</v>
      </c>
      <c r="H156" t="s">
        <v>125</v>
      </c>
      <c r="K156" t="b">
        <v>0</v>
      </c>
    </row>
    <row r="157" spans="1:11" x14ac:dyDescent="0.25">
      <c r="A157">
        <v>2358</v>
      </c>
      <c r="B157" t="s">
        <v>25</v>
      </c>
      <c r="C157" t="s">
        <v>26</v>
      </c>
      <c r="D157" t="s">
        <v>89</v>
      </c>
      <c r="E157" s="81">
        <v>43948</v>
      </c>
      <c r="F157" s="81">
        <v>43949</v>
      </c>
      <c r="G157" s="30">
        <v>400</v>
      </c>
      <c r="H157" t="s">
        <v>125</v>
      </c>
      <c r="K157" t="b">
        <v>0</v>
      </c>
    </row>
    <row r="158" spans="1:11" x14ac:dyDescent="0.25">
      <c r="A158">
        <v>2359</v>
      </c>
      <c r="B158" t="s">
        <v>25</v>
      </c>
      <c r="C158" t="s">
        <v>26</v>
      </c>
      <c r="D158" t="s">
        <v>89</v>
      </c>
      <c r="E158" s="81">
        <v>43948</v>
      </c>
      <c r="F158" s="81">
        <v>43949</v>
      </c>
      <c r="G158" s="30">
        <v>172</v>
      </c>
      <c r="H158" t="s">
        <v>125</v>
      </c>
      <c r="K158" t="b">
        <v>0</v>
      </c>
    </row>
    <row r="159" spans="1:11" x14ac:dyDescent="0.25">
      <c r="A159">
        <v>2360</v>
      </c>
      <c r="B159" t="s">
        <v>25</v>
      </c>
      <c r="C159" t="s">
        <v>26</v>
      </c>
      <c r="D159" t="s">
        <v>89</v>
      </c>
      <c r="E159" s="81">
        <v>43948</v>
      </c>
      <c r="F159" s="81">
        <v>43949</v>
      </c>
      <c r="G159" s="30">
        <v>500</v>
      </c>
      <c r="H159" t="s">
        <v>125</v>
      </c>
      <c r="K159" t="b">
        <v>0</v>
      </c>
    </row>
    <row r="160" spans="1:11" x14ac:dyDescent="0.25">
      <c r="A160">
        <v>2361</v>
      </c>
      <c r="B160" t="s">
        <v>25</v>
      </c>
      <c r="C160" t="s">
        <v>50</v>
      </c>
      <c r="D160" t="s">
        <v>90</v>
      </c>
      <c r="E160" s="81">
        <v>43948</v>
      </c>
      <c r="F160" s="81">
        <v>43949</v>
      </c>
      <c r="G160" s="30">
        <v>11</v>
      </c>
      <c r="H160" t="s">
        <v>125</v>
      </c>
      <c r="K160" t="b">
        <v>0</v>
      </c>
    </row>
    <row r="161" spans="1:11" x14ac:dyDescent="0.25">
      <c r="A161">
        <v>2334</v>
      </c>
      <c r="B161" t="s">
        <v>25</v>
      </c>
      <c r="C161" t="s">
        <v>26</v>
      </c>
      <c r="D161" t="s">
        <v>89</v>
      </c>
      <c r="E161" s="81">
        <v>43946</v>
      </c>
      <c r="F161" s="81">
        <v>43948</v>
      </c>
      <c r="G161" s="30">
        <v>3300</v>
      </c>
      <c r="H161" t="s">
        <v>125</v>
      </c>
      <c r="K161" t="b">
        <v>0</v>
      </c>
    </row>
    <row r="162" spans="1:11" x14ac:dyDescent="0.25">
      <c r="A162">
        <v>2335</v>
      </c>
      <c r="B162" t="s">
        <v>25</v>
      </c>
      <c r="C162" t="s">
        <v>26</v>
      </c>
      <c r="D162" t="s">
        <v>89</v>
      </c>
      <c r="E162" s="81">
        <v>43946</v>
      </c>
      <c r="F162" s="81">
        <v>43948</v>
      </c>
      <c r="G162" s="30">
        <v>150</v>
      </c>
      <c r="H162" t="s">
        <v>125</v>
      </c>
      <c r="K162" t="b">
        <v>0</v>
      </c>
    </row>
    <row r="163" spans="1:11" x14ac:dyDescent="0.25">
      <c r="A163">
        <v>2336</v>
      </c>
      <c r="B163" t="s">
        <v>25</v>
      </c>
      <c r="C163" t="s">
        <v>26</v>
      </c>
      <c r="D163" t="s">
        <v>89</v>
      </c>
      <c r="E163" s="81">
        <v>43946</v>
      </c>
      <c r="F163" s="81">
        <v>43948</v>
      </c>
      <c r="G163" s="30">
        <v>85.12</v>
      </c>
      <c r="H163" t="s">
        <v>125</v>
      </c>
      <c r="K163" t="b">
        <v>0</v>
      </c>
    </row>
    <row r="164" spans="1:11" x14ac:dyDescent="0.25">
      <c r="A164">
        <v>2308</v>
      </c>
      <c r="B164" t="s">
        <v>25</v>
      </c>
      <c r="C164" t="s">
        <v>26</v>
      </c>
      <c r="D164" t="s">
        <v>89</v>
      </c>
      <c r="E164" s="81">
        <v>43945</v>
      </c>
      <c r="F164" s="81">
        <v>43946</v>
      </c>
      <c r="G164" s="30">
        <v>800</v>
      </c>
      <c r="H164" t="s">
        <v>125</v>
      </c>
      <c r="K164" t="b">
        <v>0</v>
      </c>
    </row>
    <row r="165" spans="1:11" x14ac:dyDescent="0.25">
      <c r="A165">
        <v>2310</v>
      </c>
      <c r="B165" t="s">
        <v>25</v>
      </c>
      <c r="C165" t="s">
        <v>26</v>
      </c>
      <c r="D165" t="s">
        <v>89</v>
      </c>
      <c r="E165" s="81">
        <v>43945</v>
      </c>
      <c r="F165" s="81">
        <v>43946</v>
      </c>
      <c r="G165" s="30">
        <v>2272.8000000000002</v>
      </c>
      <c r="H165" t="s">
        <v>125</v>
      </c>
      <c r="K165" t="b">
        <v>0</v>
      </c>
    </row>
    <row r="166" spans="1:11" x14ac:dyDescent="0.25">
      <c r="A166">
        <v>2311</v>
      </c>
      <c r="B166" t="s">
        <v>25</v>
      </c>
      <c r="C166" t="s">
        <v>26</v>
      </c>
      <c r="D166" t="s">
        <v>89</v>
      </c>
      <c r="E166" s="81">
        <v>43945</v>
      </c>
      <c r="F166" s="81">
        <v>43946</v>
      </c>
      <c r="G166" s="30">
        <v>4526</v>
      </c>
      <c r="H166" t="s">
        <v>125</v>
      </c>
      <c r="K166" t="b">
        <v>0</v>
      </c>
    </row>
    <row r="167" spans="1:11" x14ac:dyDescent="0.25">
      <c r="A167">
        <v>2312</v>
      </c>
      <c r="B167" t="s">
        <v>25</v>
      </c>
      <c r="C167" t="s">
        <v>26</v>
      </c>
      <c r="D167" t="s">
        <v>89</v>
      </c>
      <c r="E167" s="81">
        <v>43945</v>
      </c>
      <c r="F167" s="81">
        <v>43946</v>
      </c>
      <c r="G167" s="30">
        <v>1070</v>
      </c>
      <c r="H167" t="s">
        <v>125</v>
      </c>
      <c r="K167" t="b">
        <v>0</v>
      </c>
    </row>
    <row r="168" spans="1:11" x14ac:dyDescent="0.25">
      <c r="A168">
        <v>2313</v>
      </c>
      <c r="B168" t="s">
        <v>25</v>
      </c>
      <c r="C168" t="s">
        <v>26</v>
      </c>
      <c r="D168" t="s">
        <v>89</v>
      </c>
      <c r="E168" s="81">
        <v>43945</v>
      </c>
      <c r="F168" s="81">
        <v>43946</v>
      </c>
      <c r="G168" s="30">
        <v>1000</v>
      </c>
      <c r="H168" t="s">
        <v>125</v>
      </c>
      <c r="K168" t="b">
        <v>0</v>
      </c>
    </row>
    <row r="169" spans="1:11" x14ac:dyDescent="0.25">
      <c r="A169">
        <v>2304</v>
      </c>
      <c r="B169" t="s">
        <v>25</v>
      </c>
      <c r="C169" t="s">
        <v>26</v>
      </c>
      <c r="D169" t="s">
        <v>89</v>
      </c>
      <c r="E169" s="81">
        <v>43945</v>
      </c>
      <c r="F169" s="81">
        <v>43946</v>
      </c>
      <c r="G169" s="30">
        <v>6000</v>
      </c>
      <c r="H169" t="s">
        <v>125</v>
      </c>
      <c r="K169" t="b">
        <v>0</v>
      </c>
    </row>
    <row r="170" spans="1:11" x14ac:dyDescent="0.25">
      <c r="A170">
        <v>2305</v>
      </c>
      <c r="B170" t="s">
        <v>25</v>
      </c>
      <c r="C170" t="s">
        <v>26</v>
      </c>
      <c r="D170" t="s">
        <v>89</v>
      </c>
      <c r="E170" s="81">
        <v>43945</v>
      </c>
      <c r="F170" s="81">
        <v>43946</v>
      </c>
      <c r="G170" s="30">
        <v>2005.3</v>
      </c>
      <c r="H170" t="s">
        <v>125</v>
      </c>
      <c r="K170" t="b">
        <v>0</v>
      </c>
    </row>
    <row r="171" spans="1:11" x14ac:dyDescent="0.25">
      <c r="A171">
        <v>2307</v>
      </c>
      <c r="B171" t="s">
        <v>25</v>
      </c>
      <c r="C171" t="s">
        <v>26</v>
      </c>
      <c r="D171" t="s">
        <v>89</v>
      </c>
      <c r="E171" s="81">
        <v>43945</v>
      </c>
      <c r="F171" s="81">
        <v>43946</v>
      </c>
      <c r="G171" s="30">
        <v>10000</v>
      </c>
      <c r="H171" t="s">
        <v>125</v>
      </c>
      <c r="K171" t="b">
        <v>0</v>
      </c>
    </row>
    <row r="172" spans="1:11" x14ac:dyDescent="0.25">
      <c r="A172">
        <v>2306</v>
      </c>
      <c r="B172" t="s">
        <v>25</v>
      </c>
      <c r="C172" t="s">
        <v>26</v>
      </c>
      <c r="D172" t="s">
        <v>89</v>
      </c>
      <c r="E172" s="81">
        <v>43945</v>
      </c>
      <c r="F172" s="81">
        <v>43946</v>
      </c>
      <c r="G172" s="30">
        <v>2260</v>
      </c>
      <c r="H172" t="s">
        <v>125</v>
      </c>
      <c r="K172" t="b">
        <v>0</v>
      </c>
    </row>
    <row r="173" spans="1:11" x14ac:dyDescent="0.25">
      <c r="A173">
        <v>2309</v>
      </c>
      <c r="B173" t="s">
        <v>25</v>
      </c>
      <c r="C173" t="s">
        <v>26</v>
      </c>
      <c r="D173" t="s">
        <v>89</v>
      </c>
      <c r="E173" s="81">
        <v>43945</v>
      </c>
      <c r="F173" s="81">
        <v>43946</v>
      </c>
      <c r="G173" s="30">
        <v>100</v>
      </c>
      <c r="H173" t="s">
        <v>125</v>
      </c>
      <c r="K173" t="b">
        <v>0</v>
      </c>
    </row>
    <row r="174" spans="1:11" x14ac:dyDescent="0.25">
      <c r="A174">
        <v>2315</v>
      </c>
      <c r="B174" t="s">
        <v>25</v>
      </c>
      <c r="C174" t="s">
        <v>50</v>
      </c>
      <c r="D174" t="s">
        <v>90</v>
      </c>
      <c r="E174" s="81">
        <v>43945</v>
      </c>
      <c r="F174" s="81">
        <v>43946</v>
      </c>
      <c r="G174" s="30">
        <v>600</v>
      </c>
      <c r="H174" t="s">
        <v>125</v>
      </c>
      <c r="K174" t="b">
        <v>0</v>
      </c>
    </row>
    <row r="175" spans="1:11" x14ac:dyDescent="0.25">
      <c r="A175">
        <v>2314</v>
      </c>
      <c r="B175" t="s">
        <v>25</v>
      </c>
      <c r="C175" t="s">
        <v>26</v>
      </c>
      <c r="D175" t="s">
        <v>89</v>
      </c>
      <c r="E175" s="81">
        <v>43944</v>
      </c>
      <c r="F175" s="81">
        <v>43945</v>
      </c>
      <c r="G175" s="30">
        <v>-400000</v>
      </c>
      <c r="H175" t="s">
        <v>259</v>
      </c>
      <c r="K175" t="b">
        <v>0</v>
      </c>
    </row>
    <row r="176" spans="1:11" x14ac:dyDescent="0.25">
      <c r="A176">
        <v>2285</v>
      </c>
      <c r="B176" t="s">
        <v>25</v>
      </c>
      <c r="C176" t="s">
        <v>26</v>
      </c>
      <c r="D176" t="s">
        <v>89</v>
      </c>
      <c r="E176" s="81">
        <v>43944</v>
      </c>
      <c r="F176" s="81">
        <v>43945</v>
      </c>
      <c r="G176" s="30">
        <v>100</v>
      </c>
      <c r="H176" t="s">
        <v>125</v>
      </c>
      <c r="K176" t="b">
        <v>0</v>
      </c>
    </row>
    <row r="177" spans="1:11" x14ac:dyDescent="0.25">
      <c r="A177">
        <v>2265</v>
      </c>
      <c r="B177" t="s">
        <v>25</v>
      </c>
      <c r="C177" t="s">
        <v>26</v>
      </c>
      <c r="D177" t="s">
        <v>89</v>
      </c>
      <c r="E177" s="81">
        <v>43943</v>
      </c>
      <c r="F177" s="81">
        <v>43944</v>
      </c>
      <c r="G177" s="30">
        <v>1300</v>
      </c>
      <c r="H177" t="s">
        <v>125</v>
      </c>
      <c r="K177" t="b">
        <v>0</v>
      </c>
    </row>
    <row r="178" spans="1:11" x14ac:dyDescent="0.25">
      <c r="A178">
        <v>2258</v>
      </c>
      <c r="B178" t="s">
        <v>25</v>
      </c>
      <c r="C178" t="s">
        <v>26</v>
      </c>
      <c r="D178" t="s">
        <v>89</v>
      </c>
      <c r="E178" s="81">
        <v>43942</v>
      </c>
      <c r="F178" s="81">
        <v>43943</v>
      </c>
      <c r="G178" s="30">
        <v>-130000</v>
      </c>
      <c r="H178" t="s">
        <v>301</v>
      </c>
      <c r="K178" t="b">
        <v>0</v>
      </c>
    </row>
    <row r="179" spans="1:11" x14ac:dyDescent="0.25">
      <c r="A179">
        <v>2259</v>
      </c>
      <c r="B179" t="s">
        <v>25</v>
      </c>
      <c r="C179" t="s">
        <v>26</v>
      </c>
      <c r="D179" t="s">
        <v>89</v>
      </c>
      <c r="E179" s="81">
        <v>43942</v>
      </c>
      <c r="F179" s="81">
        <v>43943</v>
      </c>
      <c r="G179" s="30">
        <v>-101000</v>
      </c>
      <c r="H179" t="s">
        <v>300</v>
      </c>
      <c r="K179" t="b">
        <v>0</v>
      </c>
    </row>
    <row r="180" spans="1:11" x14ac:dyDescent="0.25">
      <c r="A180">
        <v>2244</v>
      </c>
      <c r="B180" t="s">
        <v>25</v>
      </c>
      <c r="C180" t="s">
        <v>26</v>
      </c>
      <c r="D180" t="s">
        <v>89</v>
      </c>
      <c r="E180" s="81">
        <v>43941</v>
      </c>
      <c r="F180" s="81">
        <v>43942</v>
      </c>
      <c r="G180" s="30">
        <v>2233</v>
      </c>
      <c r="H180" t="s">
        <v>125</v>
      </c>
      <c r="K180" t="b">
        <v>0</v>
      </c>
    </row>
    <row r="181" spans="1:11" x14ac:dyDescent="0.25">
      <c r="A181">
        <v>2245</v>
      </c>
      <c r="B181" t="s">
        <v>25</v>
      </c>
      <c r="C181" t="s">
        <v>26</v>
      </c>
      <c r="D181" t="s">
        <v>89</v>
      </c>
      <c r="E181" s="81">
        <v>43941</v>
      </c>
      <c r="F181" s="81">
        <v>43942</v>
      </c>
      <c r="G181" s="30">
        <v>1412.49</v>
      </c>
      <c r="H181" t="s">
        <v>125</v>
      </c>
      <c r="K181" t="b">
        <v>0</v>
      </c>
    </row>
    <row r="182" spans="1:11" x14ac:dyDescent="0.25">
      <c r="A182">
        <v>2229</v>
      </c>
      <c r="B182" t="s">
        <v>25</v>
      </c>
      <c r="C182" t="s">
        <v>26</v>
      </c>
      <c r="D182" t="s">
        <v>89</v>
      </c>
      <c r="E182" s="81">
        <v>43938</v>
      </c>
      <c r="F182" s="81">
        <v>43939</v>
      </c>
      <c r="G182" s="30">
        <v>300</v>
      </c>
      <c r="H182" t="s">
        <v>125</v>
      </c>
      <c r="K182" t="b">
        <v>0</v>
      </c>
    </row>
    <row r="183" spans="1:11" x14ac:dyDescent="0.25">
      <c r="A183">
        <v>2206</v>
      </c>
      <c r="B183" t="s">
        <v>25</v>
      </c>
      <c r="C183" t="s">
        <v>26</v>
      </c>
      <c r="D183" t="s">
        <v>89</v>
      </c>
      <c r="E183" s="81">
        <v>43937</v>
      </c>
      <c r="F183" s="81">
        <v>43938</v>
      </c>
      <c r="G183" s="30">
        <v>900</v>
      </c>
      <c r="H183" t="s">
        <v>125</v>
      </c>
      <c r="K183" t="b">
        <v>0</v>
      </c>
    </row>
    <row r="184" spans="1:11" x14ac:dyDescent="0.25">
      <c r="A184">
        <v>2174</v>
      </c>
      <c r="B184" t="s">
        <v>25</v>
      </c>
      <c r="C184" t="s">
        <v>26</v>
      </c>
      <c r="D184" t="s">
        <v>89</v>
      </c>
      <c r="E184" s="81">
        <v>43934</v>
      </c>
      <c r="F184" s="81">
        <v>43935</v>
      </c>
      <c r="G184" s="30">
        <v>100</v>
      </c>
      <c r="H184" t="s">
        <v>125</v>
      </c>
      <c r="K184" t="b">
        <v>0</v>
      </c>
    </row>
    <row r="185" spans="1:11" x14ac:dyDescent="0.25">
      <c r="A185">
        <v>2173</v>
      </c>
      <c r="B185" t="s">
        <v>25</v>
      </c>
      <c r="C185" t="s">
        <v>26</v>
      </c>
      <c r="D185" t="s">
        <v>89</v>
      </c>
      <c r="E185" s="81">
        <v>43934</v>
      </c>
      <c r="F185" s="81">
        <v>43935</v>
      </c>
      <c r="G185" s="30">
        <v>28</v>
      </c>
      <c r="H185" t="s">
        <v>125</v>
      </c>
      <c r="K185" t="b">
        <v>0</v>
      </c>
    </row>
    <row r="186" spans="1:11" x14ac:dyDescent="0.25">
      <c r="A186">
        <v>2154</v>
      </c>
      <c r="B186" t="s">
        <v>25</v>
      </c>
      <c r="C186" t="s">
        <v>26</v>
      </c>
      <c r="D186" t="s">
        <v>89</v>
      </c>
      <c r="E186" s="81">
        <v>43932</v>
      </c>
      <c r="F186" s="81">
        <v>43934</v>
      </c>
      <c r="G186" s="30">
        <v>300</v>
      </c>
      <c r="H186" t="s">
        <v>125</v>
      </c>
      <c r="K186" t="b">
        <v>0</v>
      </c>
    </row>
    <row r="187" spans="1:11" x14ac:dyDescent="0.25">
      <c r="A187">
        <v>2153</v>
      </c>
      <c r="B187" t="s">
        <v>25</v>
      </c>
      <c r="C187" t="s">
        <v>26</v>
      </c>
      <c r="D187" t="s">
        <v>89</v>
      </c>
      <c r="E187" s="81">
        <v>43932</v>
      </c>
      <c r="F187" s="81">
        <v>43934</v>
      </c>
      <c r="G187" s="30">
        <v>900</v>
      </c>
      <c r="H187" t="s">
        <v>125</v>
      </c>
      <c r="K187" t="b">
        <v>0</v>
      </c>
    </row>
    <row r="188" spans="1:11" x14ac:dyDescent="0.25">
      <c r="A188">
        <v>2155</v>
      </c>
      <c r="B188" t="s">
        <v>25</v>
      </c>
      <c r="C188" t="s">
        <v>26</v>
      </c>
      <c r="D188" t="s">
        <v>89</v>
      </c>
      <c r="E188" s="81">
        <v>43932</v>
      </c>
      <c r="F188" s="81">
        <v>43934</v>
      </c>
      <c r="G188" s="30">
        <v>1700</v>
      </c>
      <c r="H188" t="s">
        <v>125</v>
      </c>
      <c r="K188" t="b">
        <v>0</v>
      </c>
    </row>
    <row r="189" spans="1:11" x14ac:dyDescent="0.25">
      <c r="A189">
        <v>2152</v>
      </c>
      <c r="B189" t="s">
        <v>25</v>
      </c>
      <c r="C189" t="s">
        <v>26</v>
      </c>
      <c r="D189" t="s">
        <v>89</v>
      </c>
      <c r="E189" s="81">
        <v>43932</v>
      </c>
      <c r="F189" s="81">
        <v>43934</v>
      </c>
      <c r="G189" s="30">
        <v>700</v>
      </c>
      <c r="H189" t="s">
        <v>125</v>
      </c>
      <c r="K189" t="b">
        <v>0</v>
      </c>
    </row>
    <row r="190" spans="1:11" x14ac:dyDescent="0.25">
      <c r="A190">
        <v>2061</v>
      </c>
      <c r="B190" t="s">
        <v>25</v>
      </c>
      <c r="C190" t="s">
        <v>26</v>
      </c>
      <c r="D190" t="s">
        <v>89</v>
      </c>
      <c r="E190" s="81">
        <v>43924</v>
      </c>
      <c r="F190" s="81">
        <v>43925</v>
      </c>
      <c r="G190" s="30">
        <v>560.5</v>
      </c>
      <c r="H190" t="s">
        <v>125</v>
      </c>
      <c r="K190" t="b">
        <v>0</v>
      </c>
    </row>
    <row r="191" spans="1:11" x14ac:dyDescent="0.25">
      <c r="A191">
        <v>2060</v>
      </c>
      <c r="B191" t="s">
        <v>25</v>
      </c>
      <c r="C191" t="s">
        <v>26</v>
      </c>
      <c r="D191" t="s">
        <v>89</v>
      </c>
      <c r="E191" s="81">
        <v>43924</v>
      </c>
      <c r="F191" s="81">
        <v>43925</v>
      </c>
      <c r="G191" s="30">
        <v>200</v>
      </c>
      <c r="H191" t="s">
        <v>125</v>
      </c>
      <c r="K191" t="b">
        <v>0</v>
      </c>
    </row>
    <row r="192" spans="1:11" x14ac:dyDescent="0.25">
      <c r="A192">
        <v>2059</v>
      </c>
      <c r="B192" t="s">
        <v>25</v>
      </c>
      <c r="C192" t="s">
        <v>26</v>
      </c>
      <c r="D192" t="s">
        <v>89</v>
      </c>
      <c r="E192" s="81">
        <v>43924</v>
      </c>
      <c r="F192" s="81">
        <v>43925</v>
      </c>
      <c r="G192" s="30">
        <v>700</v>
      </c>
      <c r="H192" t="s">
        <v>125</v>
      </c>
      <c r="K192" t="b">
        <v>0</v>
      </c>
    </row>
    <row r="193" spans="1:11" x14ac:dyDescent="0.25">
      <c r="A193">
        <v>2031</v>
      </c>
      <c r="B193" t="s">
        <v>25</v>
      </c>
      <c r="C193" t="s">
        <v>26</v>
      </c>
      <c r="D193" t="s">
        <v>89</v>
      </c>
      <c r="E193" s="81">
        <v>43923</v>
      </c>
      <c r="F193" s="81">
        <v>43927</v>
      </c>
      <c r="G193" s="30">
        <v>2450</v>
      </c>
      <c r="H193" t="s">
        <v>125</v>
      </c>
      <c r="K193" t="b">
        <v>0</v>
      </c>
    </row>
    <row r="194" spans="1:11" x14ac:dyDescent="0.25">
      <c r="A194">
        <v>2030</v>
      </c>
      <c r="B194" t="s">
        <v>25</v>
      </c>
      <c r="C194" t="s">
        <v>26</v>
      </c>
      <c r="D194" t="s">
        <v>89</v>
      </c>
      <c r="E194" s="81">
        <v>43923</v>
      </c>
      <c r="F194" s="81">
        <v>43924</v>
      </c>
      <c r="G194" s="30">
        <v>600</v>
      </c>
      <c r="H194" t="s">
        <v>125</v>
      </c>
      <c r="K194" t="b">
        <v>0</v>
      </c>
    </row>
    <row r="195" spans="1:11" x14ac:dyDescent="0.25">
      <c r="A195">
        <v>2005</v>
      </c>
      <c r="B195" t="s">
        <v>25</v>
      </c>
      <c r="C195" t="s">
        <v>26</v>
      </c>
      <c r="D195" t="s">
        <v>89</v>
      </c>
      <c r="E195" s="81">
        <v>43922</v>
      </c>
      <c r="F195" s="81">
        <v>43923</v>
      </c>
      <c r="G195" s="30">
        <v>500</v>
      </c>
      <c r="H195" t="s">
        <v>125</v>
      </c>
      <c r="K195" t="b">
        <v>0</v>
      </c>
    </row>
    <row r="196" spans="1:11" x14ac:dyDescent="0.25">
      <c r="A196">
        <v>1968</v>
      </c>
      <c r="B196" t="s">
        <v>25</v>
      </c>
      <c r="C196" t="s">
        <v>26</v>
      </c>
      <c r="D196" t="s">
        <v>89</v>
      </c>
      <c r="E196" s="81">
        <v>43921</v>
      </c>
      <c r="F196" s="81">
        <v>43922</v>
      </c>
      <c r="G196" s="30">
        <v>480</v>
      </c>
      <c r="H196" t="s">
        <v>125</v>
      </c>
      <c r="K196" t="b">
        <v>0</v>
      </c>
    </row>
    <row r="197" spans="1:11" x14ac:dyDescent="0.25">
      <c r="A197">
        <v>1970</v>
      </c>
      <c r="B197" t="s">
        <v>25</v>
      </c>
      <c r="C197" t="s">
        <v>26</v>
      </c>
      <c r="D197" t="s">
        <v>89</v>
      </c>
      <c r="E197" s="81">
        <v>43921</v>
      </c>
      <c r="F197" s="81">
        <v>43922</v>
      </c>
      <c r="G197" s="30">
        <v>2450</v>
      </c>
      <c r="H197" t="s">
        <v>125</v>
      </c>
      <c r="K197" t="b">
        <v>0</v>
      </c>
    </row>
    <row r="198" spans="1:11" x14ac:dyDescent="0.25">
      <c r="A198">
        <v>1969</v>
      </c>
      <c r="B198" t="s">
        <v>25</v>
      </c>
      <c r="C198" t="s">
        <v>26</v>
      </c>
      <c r="D198" t="s">
        <v>89</v>
      </c>
      <c r="E198" s="81">
        <v>43921</v>
      </c>
      <c r="F198" s="81">
        <v>43922</v>
      </c>
      <c r="G198" s="30">
        <v>310</v>
      </c>
      <c r="H198" t="s">
        <v>125</v>
      </c>
      <c r="K198" t="b">
        <v>0</v>
      </c>
    </row>
    <row r="199" spans="1:11" x14ac:dyDescent="0.25">
      <c r="A199">
        <v>1967</v>
      </c>
      <c r="B199" t="s">
        <v>25</v>
      </c>
      <c r="C199" t="s">
        <v>26</v>
      </c>
      <c r="D199" t="s">
        <v>89</v>
      </c>
      <c r="E199" s="81">
        <v>43921</v>
      </c>
      <c r="F199" s="81">
        <v>43922</v>
      </c>
      <c r="G199" s="30">
        <v>600</v>
      </c>
      <c r="H199" t="s">
        <v>125</v>
      </c>
      <c r="K199" t="b">
        <v>0</v>
      </c>
    </row>
    <row r="200" spans="1:11" x14ac:dyDescent="0.25">
      <c r="A200">
        <v>1966</v>
      </c>
      <c r="B200" t="s">
        <v>25</v>
      </c>
      <c r="C200" t="s">
        <v>26</v>
      </c>
      <c r="D200" t="s">
        <v>89</v>
      </c>
      <c r="E200" s="81">
        <v>43921</v>
      </c>
      <c r="F200" s="81">
        <v>43922</v>
      </c>
      <c r="G200" s="30">
        <v>1500</v>
      </c>
      <c r="H200" t="s">
        <v>125</v>
      </c>
      <c r="K200" t="b">
        <v>0</v>
      </c>
    </row>
    <row r="201" spans="1:11" x14ac:dyDescent="0.25">
      <c r="A201">
        <v>1933</v>
      </c>
      <c r="B201" t="s">
        <v>25</v>
      </c>
      <c r="C201" t="s">
        <v>26</v>
      </c>
      <c r="D201" t="s">
        <v>89</v>
      </c>
      <c r="E201" s="81">
        <v>43920</v>
      </c>
      <c r="F201" s="81">
        <v>43921</v>
      </c>
      <c r="G201" s="30">
        <v>1000</v>
      </c>
      <c r="H201" t="s">
        <v>125</v>
      </c>
      <c r="K201" t="b">
        <v>0</v>
      </c>
    </row>
    <row r="202" spans="1:11" x14ac:dyDescent="0.25">
      <c r="A202">
        <v>1896</v>
      </c>
      <c r="B202" t="s">
        <v>25</v>
      </c>
      <c r="C202" t="s">
        <v>26</v>
      </c>
      <c r="D202" t="s">
        <v>89</v>
      </c>
      <c r="E202" s="81">
        <v>43917</v>
      </c>
      <c r="F202" s="81">
        <v>43918</v>
      </c>
      <c r="G202" s="30">
        <v>4648</v>
      </c>
      <c r="H202" t="s">
        <v>125</v>
      </c>
      <c r="K202" t="b">
        <v>0</v>
      </c>
    </row>
    <row r="203" spans="1:11" x14ac:dyDescent="0.25">
      <c r="A203">
        <v>1899</v>
      </c>
      <c r="B203" t="s">
        <v>25</v>
      </c>
      <c r="C203" t="s">
        <v>26</v>
      </c>
      <c r="D203" t="s">
        <v>89</v>
      </c>
      <c r="E203" s="81">
        <v>43917</v>
      </c>
      <c r="F203" s="81">
        <v>43918</v>
      </c>
      <c r="G203" s="30">
        <v>2010</v>
      </c>
      <c r="H203" t="s">
        <v>125</v>
      </c>
      <c r="K203" t="b">
        <v>0</v>
      </c>
    </row>
    <row r="204" spans="1:11" x14ac:dyDescent="0.25">
      <c r="A204">
        <v>1897</v>
      </c>
      <c r="B204" t="s">
        <v>25</v>
      </c>
      <c r="C204" t="s">
        <v>26</v>
      </c>
      <c r="D204" t="s">
        <v>89</v>
      </c>
      <c r="E204" s="81">
        <v>43917</v>
      </c>
      <c r="F204" s="81">
        <v>43918</v>
      </c>
      <c r="G204" s="30">
        <v>3022.3</v>
      </c>
      <c r="H204" t="s">
        <v>125</v>
      </c>
      <c r="K204" t="b">
        <v>0</v>
      </c>
    </row>
    <row r="205" spans="1:11" x14ac:dyDescent="0.25">
      <c r="A205">
        <v>1894</v>
      </c>
      <c r="B205" t="s">
        <v>25</v>
      </c>
      <c r="C205" t="s">
        <v>26</v>
      </c>
      <c r="D205" t="s">
        <v>89</v>
      </c>
      <c r="E205" s="81">
        <v>43917</v>
      </c>
      <c r="F205" s="81">
        <v>43918</v>
      </c>
      <c r="G205" s="30">
        <v>1418.85</v>
      </c>
      <c r="H205" t="s">
        <v>125</v>
      </c>
      <c r="K205" t="b">
        <v>0</v>
      </c>
    </row>
    <row r="206" spans="1:11" x14ac:dyDescent="0.25">
      <c r="A206">
        <v>1895</v>
      </c>
      <c r="B206" t="s">
        <v>25</v>
      </c>
      <c r="C206" t="s">
        <v>26</v>
      </c>
      <c r="D206" t="s">
        <v>89</v>
      </c>
      <c r="E206" s="81">
        <v>43917</v>
      </c>
      <c r="F206" s="81">
        <v>43918</v>
      </c>
      <c r="G206" s="30">
        <v>6000</v>
      </c>
      <c r="H206" t="s">
        <v>125</v>
      </c>
      <c r="K206" t="b">
        <v>0</v>
      </c>
    </row>
    <row r="207" spans="1:11" x14ac:dyDescent="0.25">
      <c r="A207">
        <v>1898</v>
      </c>
      <c r="B207" t="s">
        <v>25</v>
      </c>
      <c r="C207" t="s">
        <v>26</v>
      </c>
      <c r="D207" t="s">
        <v>89</v>
      </c>
      <c r="E207" s="81">
        <v>43917</v>
      </c>
      <c r="F207" s="81">
        <v>43918</v>
      </c>
      <c r="G207" s="30">
        <v>2121.9</v>
      </c>
      <c r="H207" t="s">
        <v>125</v>
      </c>
      <c r="K207" t="b">
        <v>0</v>
      </c>
    </row>
    <row r="208" spans="1:11" x14ac:dyDescent="0.25">
      <c r="A208">
        <v>1870</v>
      </c>
      <c r="B208" t="s">
        <v>25</v>
      </c>
      <c r="C208" t="s">
        <v>26</v>
      </c>
      <c r="D208" t="s">
        <v>89</v>
      </c>
      <c r="E208" s="81">
        <v>43916</v>
      </c>
      <c r="F208" s="81">
        <v>43917</v>
      </c>
      <c r="G208" s="30">
        <v>500</v>
      </c>
      <c r="H208" t="s">
        <v>125</v>
      </c>
      <c r="K208" t="b">
        <v>0</v>
      </c>
    </row>
    <row r="209" spans="1:11" x14ac:dyDescent="0.25">
      <c r="A209">
        <v>1871</v>
      </c>
      <c r="B209" t="s">
        <v>25</v>
      </c>
      <c r="C209" t="s">
        <v>26</v>
      </c>
      <c r="D209" t="s">
        <v>89</v>
      </c>
      <c r="E209" s="81">
        <v>43916</v>
      </c>
      <c r="F209" s="81">
        <v>43917</v>
      </c>
      <c r="G209" s="30">
        <v>33</v>
      </c>
      <c r="H209" t="s">
        <v>125</v>
      </c>
      <c r="K209" t="b">
        <v>0</v>
      </c>
    </row>
    <row r="210" spans="1:11" x14ac:dyDescent="0.25">
      <c r="A210">
        <v>1872</v>
      </c>
      <c r="B210" t="s">
        <v>25</v>
      </c>
      <c r="C210" t="s">
        <v>26</v>
      </c>
      <c r="D210" t="s">
        <v>89</v>
      </c>
      <c r="E210" s="81">
        <v>43916</v>
      </c>
      <c r="F210" s="81">
        <v>43917</v>
      </c>
      <c r="G210" s="30">
        <v>73</v>
      </c>
      <c r="H210" t="s">
        <v>125</v>
      </c>
      <c r="K210" t="b">
        <v>0</v>
      </c>
    </row>
    <row r="211" spans="1:11" x14ac:dyDescent="0.25">
      <c r="A211">
        <v>1869</v>
      </c>
      <c r="B211" t="s">
        <v>25</v>
      </c>
      <c r="C211" t="s">
        <v>26</v>
      </c>
      <c r="D211" t="s">
        <v>89</v>
      </c>
      <c r="E211" s="81">
        <v>43916</v>
      </c>
      <c r="F211" s="81">
        <v>43917</v>
      </c>
      <c r="G211" s="30">
        <v>100</v>
      </c>
      <c r="H211" t="s">
        <v>125</v>
      </c>
      <c r="K211" t="b">
        <v>0</v>
      </c>
    </row>
    <row r="212" spans="1:11" x14ac:dyDescent="0.25">
      <c r="A212">
        <v>1873</v>
      </c>
      <c r="B212" t="s">
        <v>25</v>
      </c>
      <c r="C212" t="s">
        <v>26</v>
      </c>
      <c r="D212" t="s">
        <v>89</v>
      </c>
      <c r="E212" s="81">
        <v>43916</v>
      </c>
      <c r="F212" s="81">
        <v>43917</v>
      </c>
      <c r="G212" s="30">
        <v>30</v>
      </c>
      <c r="H212" t="s">
        <v>125</v>
      </c>
      <c r="K212" t="b">
        <v>0</v>
      </c>
    </row>
    <row r="213" spans="1:11" x14ac:dyDescent="0.25">
      <c r="A213">
        <v>1874</v>
      </c>
      <c r="B213" t="s">
        <v>25</v>
      </c>
      <c r="C213" t="s">
        <v>26</v>
      </c>
      <c r="D213" t="s">
        <v>89</v>
      </c>
      <c r="E213" s="81">
        <v>43916</v>
      </c>
      <c r="F213" s="81">
        <v>43917</v>
      </c>
      <c r="G213" s="30">
        <v>1000</v>
      </c>
      <c r="H213" t="s">
        <v>125</v>
      </c>
      <c r="K213" t="b">
        <v>0</v>
      </c>
    </row>
    <row r="214" spans="1:11" x14ac:dyDescent="0.25">
      <c r="A214">
        <v>1850</v>
      </c>
      <c r="B214" t="s">
        <v>25</v>
      </c>
      <c r="C214" t="s">
        <v>26</v>
      </c>
      <c r="D214" t="s">
        <v>89</v>
      </c>
      <c r="E214" s="81">
        <v>43915</v>
      </c>
      <c r="F214" s="81">
        <v>43916</v>
      </c>
      <c r="G214" s="30">
        <v>305</v>
      </c>
      <c r="H214" t="s">
        <v>125</v>
      </c>
      <c r="K214" t="b">
        <v>0</v>
      </c>
    </row>
    <row r="215" spans="1:11" x14ac:dyDescent="0.25">
      <c r="A215">
        <v>1851</v>
      </c>
      <c r="B215" t="s">
        <v>25</v>
      </c>
      <c r="C215" t="s">
        <v>26</v>
      </c>
      <c r="D215" t="s">
        <v>89</v>
      </c>
      <c r="E215" s="81">
        <v>43915</v>
      </c>
      <c r="F215" s="81">
        <v>43916</v>
      </c>
      <c r="G215" s="30">
        <v>210</v>
      </c>
      <c r="H215" t="s">
        <v>125</v>
      </c>
      <c r="K215" t="b">
        <v>0</v>
      </c>
    </row>
    <row r="216" spans="1:11" x14ac:dyDescent="0.25">
      <c r="A216">
        <v>1852</v>
      </c>
      <c r="B216" t="s">
        <v>25</v>
      </c>
      <c r="C216" t="s">
        <v>26</v>
      </c>
      <c r="D216" t="s">
        <v>89</v>
      </c>
      <c r="E216" s="81">
        <v>43915</v>
      </c>
      <c r="F216" s="81">
        <v>43916</v>
      </c>
      <c r="G216" s="30">
        <v>500</v>
      </c>
      <c r="H216" t="s">
        <v>125</v>
      </c>
      <c r="K216" t="b">
        <v>0</v>
      </c>
    </row>
    <row r="217" spans="1:11" x14ac:dyDescent="0.25">
      <c r="A217">
        <v>1854</v>
      </c>
      <c r="B217" t="s">
        <v>25</v>
      </c>
      <c r="C217" t="s">
        <v>26</v>
      </c>
      <c r="D217" t="s">
        <v>89</v>
      </c>
      <c r="E217" s="81">
        <v>43915</v>
      </c>
      <c r="F217" s="81">
        <v>43916</v>
      </c>
      <c r="G217" s="30">
        <v>800.03</v>
      </c>
      <c r="H217" t="s">
        <v>125</v>
      </c>
      <c r="K217" t="b">
        <v>0</v>
      </c>
    </row>
    <row r="218" spans="1:11" x14ac:dyDescent="0.25">
      <c r="A218">
        <v>1853</v>
      </c>
      <c r="B218" t="s">
        <v>25</v>
      </c>
      <c r="C218" t="s">
        <v>26</v>
      </c>
      <c r="D218" t="s">
        <v>89</v>
      </c>
      <c r="E218" s="81">
        <v>43915</v>
      </c>
      <c r="F218" s="81">
        <v>43916</v>
      </c>
      <c r="G218" s="30">
        <v>400</v>
      </c>
      <c r="H218" t="s">
        <v>125</v>
      </c>
      <c r="K218" t="b">
        <v>0</v>
      </c>
    </row>
    <row r="219" spans="1:11" x14ac:dyDescent="0.25">
      <c r="A219">
        <v>1811</v>
      </c>
      <c r="B219" t="s">
        <v>25</v>
      </c>
      <c r="C219" t="s">
        <v>26</v>
      </c>
      <c r="D219" t="s">
        <v>89</v>
      </c>
      <c r="E219" s="81">
        <v>43910</v>
      </c>
      <c r="F219" s="81">
        <v>43911</v>
      </c>
      <c r="G219" s="30">
        <v>500</v>
      </c>
      <c r="H219" t="s">
        <v>125</v>
      </c>
      <c r="K219" t="b">
        <v>0</v>
      </c>
    </row>
    <row r="220" spans="1:11" x14ac:dyDescent="0.25">
      <c r="A220">
        <v>1791</v>
      </c>
      <c r="B220" t="s">
        <v>25</v>
      </c>
      <c r="C220" t="s">
        <v>26</v>
      </c>
      <c r="D220" t="s">
        <v>89</v>
      </c>
      <c r="E220" s="81">
        <v>43908</v>
      </c>
      <c r="F220" s="81">
        <v>43909</v>
      </c>
      <c r="G220" s="30">
        <v>80</v>
      </c>
      <c r="H220" t="s">
        <v>125</v>
      </c>
      <c r="K220" t="b">
        <v>0</v>
      </c>
    </row>
    <row r="221" spans="1:11" x14ac:dyDescent="0.25">
      <c r="A221">
        <v>1747</v>
      </c>
      <c r="B221" t="s">
        <v>25</v>
      </c>
      <c r="C221" t="s">
        <v>26</v>
      </c>
      <c r="D221" t="s">
        <v>89</v>
      </c>
      <c r="E221" s="81">
        <v>43906</v>
      </c>
      <c r="F221" s="81">
        <v>43907</v>
      </c>
      <c r="G221" s="30">
        <v>620</v>
      </c>
      <c r="H221" t="s">
        <v>125</v>
      </c>
      <c r="K221" t="b">
        <v>0</v>
      </c>
    </row>
    <row r="222" spans="1:11" x14ac:dyDescent="0.25">
      <c r="A222">
        <v>1749</v>
      </c>
      <c r="B222" t="s">
        <v>25</v>
      </c>
      <c r="C222" t="s">
        <v>26</v>
      </c>
      <c r="D222" t="s">
        <v>89</v>
      </c>
      <c r="E222" s="81">
        <v>43906</v>
      </c>
      <c r="F222" s="81">
        <v>43907</v>
      </c>
      <c r="G222" s="30">
        <v>400</v>
      </c>
      <c r="H222" t="s">
        <v>125</v>
      </c>
      <c r="K222" t="b">
        <v>0</v>
      </c>
    </row>
    <row r="223" spans="1:11" x14ac:dyDescent="0.25">
      <c r="A223">
        <v>1748</v>
      </c>
      <c r="B223" t="s">
        <v>25</v>
      </c>
      <c r="C223" t="s">
        <v>26</v>
      </c>
      <c r="D223" t="s">
        <v>89</v>
      </c>
      <c r="E223" s="81">
        <v>43906</v>
      </c>
      <c r="G223" s="30">
        <v>-0.05</v>
      </c>
      <c r="H223" t="s">
        <v>258</v>
      </c>
      <c r="K223" t="b">
        <v>1</v>
      </c>
    </row>
    <row r="224" spans="1:11" x14ac:dyDescent="0.25">
      <c r="A224">
        <v>1742</v>
      </c>
      <c r="B224" t="s">
        <v>25</v>
      </c>
      <c r="C224" t="s">
        <v>26</v>
      </c>
      <c r="D224" t="s">
        <v>89</v>
      </c>
      <c r="E224" s="81">
        <v>43904</v>
      </c>
      <c r="F224" s="81">
        <v>43906</v>
      </c>
      <c r="G224" s="30">
        <v>18000</v>
      </c>
      <c r="H224" t="s">
        <v>125</v>
      </c>
      <c r="K224" t="b">
        <v>0</v>
      </c>
    </row>
    <row r="225" spans="1:11" x14ac:dyDescent="0.25">
      <c r="A225">
        <v>1723</v>
      </c>
      <c r="B225" t="s">
        <v>25</v>
      </c>
      <c r="C225" t="s">
        <v>26</v>
      </c>
      <c r="D225" t="s">
        <v>89</v>
      </c>
      <c r="E225" s="81">
        <v>43903</v>
      </c>
      <c r="F225" s="81">
        <v>43904</v>
      </c>
      <c r="G225" s="30">
        <v>400</v>
      </c>
      <c r="H225" t="s">
        <v>125</v>
      </c>
      <c r="K225" t="b">
        <v>0</v>
      </c>
    </row>
    <row r="226" spans="1:11" x14ac:dyDescent="0.25">
      <c r="A226">
        <v>1627</v>
      </c>
      <c r="B226" t="s">
        <v>25</v>
      </c>
      <c r="C226" t="s">
        <v>26</v>
      </c>
      <c r="D226" t="s">
        <v>89</v>
      </c>
      <c r="E226" s="81">
        <v>43897</v>
      </c>
      <c r="F226" s="81">
        <v>43899</v>
      </c>
      <c r="G226" s="30">
        <v>400</v>
      </c>
      <c r="H226" t="s">
        <v>125</v>
      </c>
      <c r="K226" t="b">
        <v>0</v>
      </c>
    </row>
    <row r="227" spans="1:11" x14ac:dyDescent="0.25">
      <c r="A227">
        <v>1642</v>
      </c>
      <c r="B227" t="s">
        <v>25</v>
      </c>
      <c r="C227" t="s">
        <v>26</v>
      </c>
      <c r="D227" t="s">
        <v>89</v>
      </c>
      <c r="E227" s="81">
        <v>43897</v>
      </c>
      <c r="F227" s="81">
        <v>43899</v>
      </c>
      <c r="G227" s="30">
        <v>7.5</v>
      </c>
      <c r="H227" t="s">
        <v>276</v>
      </c>
      <c r="K227" t="b">
        <v>0</v>
      </c>
    </row>
    <row r="228" spans="1:11" x14ac:dyDescent="0.25">
      <c r="A228">
        <v>1551</v>
      </c>
      <c r="B228" t="s">
        <v>25</v>
      </c>
      <c r="C228" t="s">
        <v>26</v>
      </c>
      <c r="D228" t="s">
        <v>89</v>
      </c>
      <c r="E228" s="81">
        <v>43893</v>
      </c>
      <c r="F228" s="81">
        <v>43894</v>
      </c>
      <c r="G228" s="30">
        <v>55</v>
      </c>
      <c r="H228" t="s">
        <v>125</v>
      </c>
      <c r="K228" t="b">
        <v>0</v>
      </c>
    </row>
    <row r="229" spans="1:11" x14ac:dyDescent="0.25">
      <c r="A229">
        <v>1522</v>
      </c>
      <c r="B229" t="s">
        <v>25</v>
      </c>
      <c r="C229" t="s">
        <v>26</v>
      </c>
      <c r="D229" t="s">
        <v>89</v>
      </c>
      <c r="E229" s="81">
        <v>43892</v>
      </c>
      <c r="F229" s="81">
        <v>43892</v>
      </c>
      <c r="G229" s="30">
        <v>-1.45</v>
      </c>
      <c r="H229" t="s">
        <v>258</v>
      </c>
      <c r="K229" t="b">
        <v>0</v>
      </c>
    </row>
    <row r="230" spans="1:11" x14ac:dyDescent="0.25">
      <c r="A230">
        <v>1481</v>
      </c>
      <c r="B230" t="s">
        <v>25</v>
      </c>
      <c r="C230" t="s">
        <v>26</v>
      </c>
      <c r="D230" t="s">
        <v>89</v>
      </c>
      <c r="E230" s="81">
        <v>43888</v>
      </c>
      <c r="F230" s="81">
        <v>43889</v>
      </c>
      <c r="G230" s="30">
        <v>1200</v>
      </c>
      <c r="H230" t="s">
        <v>125</v>
      </c>
      <c r="K230" t="b">
        <v>0</v>
      </c>
    </row>
    <row r="231" spans="1:11" x14ac:dyDescent="0.25">
      <c r="A231">
        <v>1480</v>
      </c>
      <c r="B231" t="s">
        <v>25</v>
      </c>
      <c r="C231" t="s">
        <v>26</v>
      </c>
      <c r="D231" t="s">
        <v>89</v>
      </c>
      <c r="E231" s="81">
        <v>43888</v>
      </c>
      <c r="F231" s="81">
        <v>43889</v>
      </c>
      <c r="G231" s="30">
        <v>5000</v>
      </c>
      <c r="H231" t="s">
        <v>125</v>
      </c>
      <c r="K231" t="b">
        <v>0</v>
      </c>
    </row>
    <row r="232" spans="1:11" x14ac:dyDescent="0.25">
      <c r="A232">
        <v>1479</v>
      </c>
      <c r="B232" t="s">
        <v>25</v>
      </c>
      <c r="C232" t="s">
        <v>26</v>
      </c>
      <c r="D232" t="s">
        <v>89</v>
      </c>
      <c r="E232" s="81">
        <v>43888</v>
      </c>
      <c r="F232" s="81">
        <v>43889</v>
      </c>
      <c r="G232" s="30">
        <v>3970</v>
      </c>
      <c r="H232" t="s">
        <v>125</v>
      </c>
      <c r="K232" t="b">
        <v>0</v>
      </c>
    </row>
    <row r="233" spans="1:11" x14ac:dyDescent="0.25">
      <c r="A233">
        <v>1467</v>
      </c>
      <c r="B233" t="s">
        <v>25</v>
      </c>
      <c r="C233" t="s">
        <v>26</v>
      </c>
      <c r="D233" t="s">
        <v>89</v>
      </c>
      <c r="E233" s="81">
        <v>43887</v>
      </c>
      <c r="F233" s="81">
        <v>43888</v>
      </c>
      <c r="G233" s="30">
        <v>3000</v>
      </c>
      <c r="H233" t="s">
        <v>125</v>
      </c>
      <c r="K233" t="b">
        <v>0</v>
      </c>
    </row>
    <row r="234" spans="1:11" x14ac:dyDescent="0.25">
      <c r="A234">
        <v>1459</v>
      </c>
      <c r="B234" t="s">
        <v>25</v>
      </c>
      <c r="C234" t="s">
        <v>26</v>
      </c>
      <c r="D234" t="s">
        <v>89</v>
      </c>
      <c r="E234" s="81">
        <v>43886</v>
      </c>
      <c r="F234" s="81">
        <v>43887</v>
      </c>
      <c r="G234" s="30">
        <v>800</v>
      </c>
      <c r="H234" t="s">
        <v>125</v>
      </c>
      <c r="K234" t="b">
        <v>0</v>
      </c>
    </row>
    <row r="235" spans="1:11" x14ac:dyDescent="0.25">
      <c r="A235">
        <v>1406</v>
      </c>
      <c r="B235" t="s">
        <v>25</v>
      </c>
      <c r="C235" t="s">
        <v>26</v>
      </c>
      <c r="D235" t="s">
        <v>89</v>
      </c>
      <c r="E235" s="81">
        <v>43881</v>
      </c>
      <c r="F235" s="81">
        <v>43882</v>
      </c>
      <c r="G235" s="30">
        <v>2600</v>
      </c>
      <c r="H235" t="s">
        <v>305</v>
      </c>
      <c r="K235" t="b">
        <v>0</v>
      </c>
    </row>
    <row r="236" spans="1:11" x14ac:dyDescent="0.25">
      <c r="A236">
        <v>1405</v>
      </c>
      <c r="B236" t="s">
        <v>25</v>
      </c>
      <c r="C236" t="s">
        <v>26</v>
      </c>
      <c r="D236" t="s">
        <v>89</v>
      </c>
      <c r="E236" s="81">
        <v>43881</v>
      </c>
      <c r="F236" s="81">
        <v>43882</v>
      </c>
      <c r="G236" s="30">
        <v>410</v>
      </c>
      <c r="H236" t="s">
        <v>305</v>
      </c>
      <c r="K236" t="b">
        <v>0</v>
      </c>
    </row>
    <row r="237" spans="1:11" x14ac:dyDescent="0.25">
      <c r="A237">
        <v>1380</v>
      </c>
      <c r="B237" t="s">
        <v>25</v>
      </c>
      <c r="C237" t="s">
        <v>50</v>
      </c>
      <c r="D237" t="s">
        <v>90</v>
      </c>
      <c r="E237" s="81">
        <v>43879</v>
      </c>
      <c r="F237" s="81">
        <v>43879</v>
      </c>
      <c r="G237" s="30">
        <v>-31</v>
      </c>
      <c r="H237" t="s">
        <v>309</v>
      </c>
      <c r="K237" t="b">
        <v>0</v>
      </c>
    </row>
    <row r="238" spans="1:11" x14ac:dyDescent="0.25">
      <c r="A238">
        <v>1379</v>
      </c>
      <c r="B238" t="s">
        <v>25</v>
      </c>
      <c r="C238" t="s">
        <v>50</v>
      </c>
      <c r="D238" t="s">
        <v>90</v>
      </c>
      <c r="E238" s="81">
        <v>43879</v>
      </c>
      <c r="F238" s="81">
        <v>43879</v>
      </c>
      <c r="G238" s="30">
        <v>-31</v>
      </c>
      <c r="H238" t="s">
        <v>307</v>
      </c>
      <c r="K238" t="b">
        <v>0</v>
      </c>
    </row>
    <row r="239" spans="1:11" x14ac:dyDescent="0.25">
      <c r="A239">
        <v>1378</v>
      </c>
      <c r="B239" t="s">
        <v>25</v>
      </c>
      <c r="C239" t="s">
        <v>50</v>
      </c>
      <c r="D239" t="s">
        <v>90</v>
      </c>
      <c r="E239" s="81">
        <v>43879</v>
      </c>
      <c r="F239" s="81">
        <v>43879</v>
      </c>
      <c r="G239" s="30">
        <v>-31</v>
      </c>
      <c r="H239" t="s">
        <v>308</v>
      </c>
      <c r="K239" t="b">
        <v>0</v>
      </c>
    </row>
    <row r="240" spans="1:11" x14ac:dyDescent="0.25">
      <c r="A240">
        <v>1356</v>
      </c>
      <c r="B240" t="s">
        <v>25</v>
      </c>
      <c r="C240" t="s">
        <v>26</v>
      </c>
      <c r="D240" t="s">
        <v>89</v>
      </c>
      <c r="E240" s="81">
        <v>43878</v>
      </c>
      <c r="F240" s="81">
        <v>43879</v>
      </c>
      <c r="G240" s="30">
        <v>330</v>
      </c>
      <c r="H240" t="s">
        <v>305</v>
      </c>
      <c r="K240" t="b">
        <v>0</v>
      </c>
    </row>
    <row r="241" spans="1:11" x14ac:dyDescent="0.25">
      <c r="A241">
        <v>1299</v>
      </c>
      <c r="B241" t="s">
        <v>25</v>
      </c>
      <c r="C241" t="s">
        <v>26</v>
      </c>
      <c r="D241" t="s">
        <v>89</v>
      </c>
      <c r="E241" s="81">
        <v>43873</v>
      </c>
      <c r="F241" s="81">
        <v>43874</v>
      </c>
      <c r="G241" s="30">
        <v>2300</v>
      </c>
      <c r="H241" t="s">
        <v>125</v>
      </c>
      <c r="K241" t="b">
        <v>0</v>
      </c>
    </row>
    <row r="242" spans="1:11" x14ac:dyDescent="0.25">
      <c r="A242">
        <v>1300</v>
      </c>
      <c r="B242" t="s">
        <v>25</v>
      </c>
      <c r="C242" t="s">
        <v>26</v>
      </c>
      <c r="D242" t="s">
        <v>89</v>
      </c>
      <c r="E242" s="81">
        <v>43873</v>
      </c>
      <c r="F242" s="81">
        <v>43874</v>
      </c>
      <c r="G242" s="30">
        <v>300</v>
      </c>
      <c r="H242" t="s">
        <v>125</v>
      </c>
      <c r="K242" t="b">
        <v>0</v>
      </c>
    </row>
    <row r="243" spans="1:11" x14ac:dyDescent="0.25">
      <c r="A243">
        <v>1219</v>
      </c>
      <c r="B243" t="s">
        <v>25</v>
      </c>
      <c r="C243" t="s">
        <v>26</v>
      </c>
      <c r="D243" t="s">
        <v>89</v>
      </c>
      <c r="E243" s="81">
        <v>43866</v>
      </c>
      <c r="F243" s="81">
        <v>43867</v>
      </c>
      <c r="G243" s="30">
        <v>5000</v>
      </c>
      <c r="H243" t="s">
        <v>125</v>
      </c>
      <c r="K243" t="b">
        <v>0</v>
      </c>
    </row>
    <row r="244" spans="1:11" x14ac:dyDescent="0.25">
      <c r="A244">
        <v>1177</v>
      </c>
      <c r="B244" t="s">
        <v>25</v>
      </c>
      <c r="C244" t="s">
        <v>26</v>
      </c>
      <c r="D244" t="s">
        <v>89</v>
      </c>
      <c r="E244" s="81">
        <v>43864</v>
      </c>
      <c r="F244" s="81">
        <v>43865</v>
      </c>
      <c r="G244" s="30">
        <v>244</v>
      </c>
      <c r="H244" t="s">
        <v>125</v>
      </c>
      <c r="K244" t="b">
        <v>0</v>
      </c>
    </row>
    <row r="245" spans="1:11" x14ac:dyDescent="0.25">
      <c r="A245">
        <v>1178</v>
      </c>
      <c r="B245" t="s">
        <v>25</v>
      </c>
      <c r="C245" t="s">
        <v>50</v>
      </c>
      <c r="D245" t="s">
        <v>90</v>
      </c>
      <c r="E245" s="81">
        <v>43864</v>
      </c>
      <c r="F245" s="81">
        <v>43864</v>
      </c>
      <c r="G245" s="30">
        <v>-0.35</v>
      </c>
      <c r="H245" t="s">
        <v>310</v>
      </c>
      <c r="K245" t="b">
        <v>0</v>
      </c>
    </row>
    <row r="246" spans="1:11" x14ac:dyDescent="0.25">
      <c r="A246">
        <v>1156</v>
      </c>
      <c r="B246" t="s">
        <v>25</v>
      </c>
      <c r="C246" t="s">
        <v>26</v>
      </c>
      <c r="D246" t="s">
        <v>89</v>
      </c>
      <c r="E246" s="81">
        <v>43862</v>
      </c>
      <c r="F246" s="81">
        <v>43864</v>
      </c>
      <c r="G246" s="30">
        <v>10</v>
      </c>
      <c r="H246" t="s">
        <v>125</v>
      </c>
      <c r="K246" t="b">
        <v>0</v>
      </c>
    </row>
    <row r="247" spans="1:11" x14ac:dyDescent="0.25">
      <c r="A247">
        <v>1122</v>
      </c>
      <c r="B247" t="s">
        <v>25</v>
      </c>
      <c r="C247" t="s">
        <v>26</v>
      </c>
      <c r="D247" t="s">
        <v>89</v>
      </c>
      <c r="E247" s="81">
        <v>43860</v>
      </c>
      <c r="F247" s="81">
        <v>43861</v>
      </c>
      <c r="G247" s="30">
        <v>1000</v>
      </c>
      <c r="H247" t="s">
        <v>125</v>
      </c>
      <c r="K247" t="b">
        <v>0</v>
      </c>
    </row>
    <row r="248" spans="1:11" x14ac:dyDescent="0.25">
      <c r="A248">
        <v>1123</v>
      </c>
      <c r="B248" t="s">
        <v>25</v>
      </c>
      <c r="C248" t="s">
        <v>26</v>
      </c>
      <c r="D248" t="s">
        <v>89</v>
      </c>
      <c r="E248" s="81">
        <v>43860</v>
      </c>
      <c r="F248" s="81">
        <v>43860</v>
      </c>
      <c r="G248" s="30">
        <v>-1000000</v>
      </c>
      <c r="H248" t="s">
        <v>312</v>
      </c>
      <c r="I248" t="s">
        <v>313</v>
      </c>
      <c r="K248" t="b">
        <v>0</v>
      </c>
    </row>
    <row r="249" spans="1:11" x14ac:dyDescent="0.25">
      <c r="A249">
        <v>1106</v>
      </c>
      <c r="B249" t="s">
        <v>25</v>
      </c>
      <c r="C249" t="s">
        <v>50</v>
      </c>
      <c r="D249" t="s">
        <v>90</v>
      </c>
      <c r="E249" s="81">
        <v>43859</v>
      </c>
      <c r="F249" s="81">
        <v>43860</v>
      </c>
      <c r="G249" s="30">
        <v>114.88</v>
      </c>
      <c r="H249" t="s">
        <v>125</v>
      </c>
      <c r="K249" t="b">
        <v>0</v>
      </c>
    </row>
    <row r="250" spans="1:11" x14ac:dyDescent="0.25">
      <c r="A250">
        <v>1096</v>
      </c>
      <c r="B250" t="s">
        <v>25</v>
      </c>
      <c r="C250" t="s">
        <v>26</v>
      </c>
      <c r="D250" t="s">
        <v>89</v>
      </c>
      <c r="E250" s="81">
        <v>43858</v>
      </c>
      <c r="F250" s="81">
        <v>43859</v>
      </c>
      <c r="G250" s="30">
        <v>1000</v>
      </c>
      <c r="H250" t="s">
        <v>125</v>
      </c>
      <c r="K250" t="b">
        <v>0</v>
      </c>
    </row>
    <row r="251" spans="1:11" x14ac:dyDescent="0.25">
      <c r="A251">
        <v>1095</v>
      </c>
      <c r="B251" t="s">
        <v>25</v>
      </c>
      <c r="C251" t="s">
        <v>26</v>
      </c>
      <c r="D251" t="s">
        <v>89</v>
      </c>
      <c r="E251" s="81">
        <v>43858</v>
      </c>
      <c r="F251" s="81">
        <v>43859</v>
      </c>
      <c r="G251" s="30">
        <v>1000</v>
      </c>
      <c r="H251" t="s">
        <v>125</v>
      </c>
      <c r="K251" t="b">
        <v>0</v>
      </c>
    </row>
    <row r="252" spans="1:11" x14ac:dyDescent="0.25">
      <c r="A252">
        <v>1097</v>
      </c>
      <c r="B252" t="s">
        <v>25</v>
      </c>
      <c r="C252" t="s">
        <v>26</v>
      </c>
      <c r="D252" t="s">
        <v>89</v>
      </c>
      <c r="E252" s="81">
        <v>43858</v>
      </c>
      <c r="F252" s="81">
        <v>43859</v>
      </c>
      <c r="G252" s="30">
        <v>272.83</v>
      </c>
      <c r="H252" t="s">
        <v>125</v>
      </c>
      <c r="K252" t="b">
        <v>0</v>
      </c>
    </row>
    <row r="253" spans="1:11" x14ac:dyDescent="0.25">
      <c r="A253">
        <v>1076</v>
      </c>
      <c r="B253" t="s">
        <v>25</v>
      </c>
      <c r="C253" t="s">
        <v>26</v>
      </c>
      <c r="D253" t="s">
        <v>89</v>
      </c>
      <c r="E253" s="81">
        <v>43857</v>
      </c>
      <c r="F253" s="81">
        <v>43858</v>
      </c>
      <c r="G253" s="30">
        <v>-235.81</v>
      </c>
      <c r="H253" t="s">
        <v>303</v>
      </c>
      <c r="I253" t="s">
        <v>314</v>
      </c>
      <c r="K253" t="b">
        <v>0</v>
      </c>
    </row>
    <row r="254" spans="1:11" x14ac:dyDescent="0.25">
      <c r="A254">
        <v>1075</v>
      </c>
      <c r="B254" t="s">
        <v>25</v>
      </c>
      <c r="C254" t="s">
        <v>26</v>
      </c>
      <c r="D254" t="s">
        <v>89</v>
      </c>
      <c r="E254" s="81">
        <v>43857</v>
      </c>
      <c r="F254" s="81">
        <v>43858</v>
      </c>
      <c r="G254" s="30">
        <v>9000</v>
      </c>
      <c r="H254" t="s">
        <v>125</v>
      </c>
      <c r="K254" t="b">
        <v>0</v>
      </c>
    </row>
    <row r="255" spans="1:11" x14ac:dyDescent="0.25">
      <c r="A255">
        <v>1077</v>
      </c>
      <c r="B255" t="s">
        <v>25</v>
      </c>
      <c r="C255" t="s">
        <v>50</v>
      </c>
      <c r="D255" t="s">
        <v>90</v>
      </c>
      <c r="E255" s="81">
        <v>43857</v>
      </c>
      <c r="F255" s="81">
        <v>43858</v>
      </c>
      <c r="G255" s="30">
        <v>68.75</v>
      </c>
      <c r="H255" t="s">
        <v>125</v>
      </c>
      <c r="I255" t="s">
        <v>315</v>
      </c>
      <c r="K255" t="b">
        <v>0</v>
      </c>
    </row>
    <row r="256" spans="1:11" x14ac:dyDescent="0.25">
      <c r="A256">
        <v>1066</v>
      </c>
      <c r="B256" t="s">
        <v>25</v>
      </c>
      <c r="C256" t="s">
        <v>26</v>
      </c>
      <c r="D256" t="s">
        <v>89</v>
      </c>
      <c r="E256" s="81">
        <v>43855</v>
      </c>
      <c r="F256" s="81">
        <v>43857</v>
      </c>
      <c r="G256" s="30">
        <v>18000</v>
      </c>
      <c r="H256" t="s">
        <v>125</v>
      </c>
      <c r="K256" t="b">
        <v>0</v>
      </c>
    </row>
    <row r="257" spans="1:11" x14ac:dyDescent="0.25">
      <c r="A257">
        <v>1057</v>
      </c>
      <c r="B257" t="s">
        <v>25</v>
      </c>
      <c r="C257" t="s">
        <v>26</v>
      </c>
      <c r="D257" t="s">
        <v>89</v>
      </c>
      <c r="E257" s="81">
        <v>43854</v>
      </c>
      <c r="F257" s="81">
        <v>43855</v>
      </c>
      <c r="G257" s="30">
        <v>18000</v>
      </c>
      <c r="H257" t="s">
        <v>125</v>
      </c>
      <c r="K257" t="b">
        <v>0</v>
      </c>
    </row>
    <row r="258" spans="1:11" x14ac:dyDescent="0.25">
      <c r="A258">
        <v>913</v>
      </c>
      <c r="B258" t="s">
        <v>25</v>
      </c>
      <c r="C258" t="s">
        <v>26</v>
      </c>
      <c r="D258" t="s">
        <v>89</v>
      </c>
      <c r="E258" s="81">
        <v>43844</v>
      </c>
      <c r="F258" s="81">
        <v>43845</v>
      </c>
      <c r="G258" s="30">
        <v>2000</v>
      </c>
      <c r="H258" t="s">
        <v>125</v>
      </c>
      <c r="K258" t="b">
        <v>0</v>
      </c>
    </row>
    <row r="259" spans="1:11" x14ac:dyDescent="0.25">
      <c r="A259">
        <v>899</v>
      </c>
      <c r="B259" t="s">
        <v>25</v>
      </c>
      <c r="C259" t="s">
        <v>26</v>
      </c>
      <c r="D259" t="s">
        <v>89</v>
      </c>
      <c r="E259" s="81">
        <v>43843</v>
      </c>
      <c r="F259" s="81">
        <v>43844</v>
      </c>
      <c r="G259" s="30">
        <v>50</v>
      </c>
      <c r="H259" t="s">
        <v>125</v>
      </c>
      <c r="K259" t="b">
        <v>0</v>
      </c>
    </row>
    <row r="260" spans="1:11" x14ac:dyDescent="0.25">
      <c r="A260">
        <v>901</v>
      </c>
      <c r="B260" t="s">
        <v>25</v>
      </c>
      <c r="C260" t="s">
        <v>26</v>
      </c>
      <c r="D260" t="s">
        <v>89</v>
      </c>
      <c r="E260" s="81">
        <v>43843</v>
      </c>
      <c r="F260" s="81">
        <v>43844</v>
      </c>
      <c r="G260" s="30">
        <v>25</v>
      </c>
      <c r="H260" t="s">
        <v>125</v>
      </c>
      <c r="K260" t="b">
        <v>0</v>
      </c>
    </row>
    <row r="261" spans="1:11" x14ac:dyDescent="0.25">
      <c r="A261">
        <v>900</v>
      </c>
      <c r="B261" t="s">
        <v>25</v>
      </c>
      <c r="C261" t="s">
        <v>26</v>
      </c>
      <c r="D261" t="s">
        <v>89</v>
      </c>
      <c r="E261" s="81">
        <v>43843</v>
      </c>
      <c r="F261" s="81">
        <v>43844</v>
      </c>
      <c r="G261" s="30">
        <v>1500</v>
      </c>
      <c r="H261" t="s">
        <v>125</v>
      </c>
      <c r="K261" t="b">
        <v>0</v>
      </c>
    </row>
    <row r="262" spans="1:11" x14ac:dyDescent="0.25">
      <c r="A262">
        <v>862</v>
      </c>
      <c r="B262" t="s">
        <v>25</v>
      </c>
      <c r="C262" t="s">
        <v>26</v>
      </c>
      <c r="D262" t="s">
        <v>89</v>
      </c>
      <c r="E262" s="81">
        <v>43840</v>
      </c>
      <c r="F262" s="81">
        <v>43843</v>
      </c>
      <c r="G262" s="30">
        <v>-7.5</v>
      </c>
      <c r="H262" t="s">
        <v>276</v>
      </c>
      <c r="I262" t="s">
        <v>316</v>
      </c>
      <c r="K262" t="b">
        <v>0</v>
      </c>
    </row>
    <row r="263" spans="1:11" x14ac:dyDescent="0.25">
      <c r="A263">
        <v>831</v>
      </c>
      <c r="B263" t="s">
        <v>25</v>
      </c>
      <c r="C263" t="s">
        <v>26</v>
      </c>
      <c r="D263" t="s">
        <v>89</v>
      </c>
      <c r="E263" s="81">
        <v>43836</v>
      </c>
      <c r="F263" s="81">
        <v>43837</v>
      </c>
      <c r="G263" s="30">
        <v>-28.5</v>
      </c>
      <c r="H263" t="s">
        <v>317</v>
      </c>
      <c r="I263" t="s">
        <v>302</v>
      </c>
      <c r="K263" t="b">
        <v>0</v>
      </c>
    </row>
    <row r="264" spans="1:11" x14ac:dyDescent="0.25">
      <c r="A264">
        <v>830</v>
      </c>
      <c r="B264" t="s">
        <v>25</v>
      </c>
      <c r="C264" t="s">
        <v>26</v>
      </c>
      <c r="D264" t="s">
        <v>89</v>
      </c>
      <c r="E264" s="81">
        <v>43836</v>
      </c>
      <c r="F264" s="81">
        <v>43837</v>
      </c>
      <c r="G264" s="30">
        <v>1000</v>
      </c>
      <c r="H264" t="s">
        <v>125</v>
      </c>
      <c r="K264" t="b">
        <v>0</v>
      </c>
    </row>
    <row r="265" spans="1:11" x14ac:dyDescent="0.25">
      <c r="A265">
        <v>817</v>
      </c>
      <c r="B265" t="s">
        <v>25</v>
      </c>
      <c r="C265" t="s">
        <v>26</v>
      </c>
      <c r="D265" t="s">
        <v>89</v>
      </c>
      <c r="E265" s="81">
        <v>43834</v>
      </c>
      <c r="F265" s="81">
        <v>43836</v>
      </c>
      <c r="G265" s="30">
        <v>7000</v>
      </c>
      <c r="H265" t="s">
        <v>125</v>
      </c>
      <c r="K265" t="b">
        <v>0</v>
      </c>
    </row>
    <row r="266" spans="1:11" x14ac:dyDescent="0.25">
      <c r="A266">
        <v>738</v>
      </c>
      <c r="B266" t="s">
        <v>25</v>
      </c>
      <c r="C266" t="s">
        <v>50</v>
      </c>
      <c r="D266" t="s">
        <v>90</v>
      </c>
      <c r="E266" s="81">
        <v>43827</v>
      </c>
      <c r="F266" s="81">
        <v>43829</v>
      </c>
      <c r="G266" s="30">
        <v>-50</v>
      </c>
      <c r="H266" t="s">
        <v>317</v>
      </c>
      <c r="I266" t="s">
        <v>266</v>
      </c>
      <c r="K266" t="b">
        <v>0</v>
      </c>
    </row>
    <row r="267" spans="1:11" x14ac:dyDescent="0.25">
      <c r="A267">
        <v>691</v>
      </c>
      <c r="B267" t="s">
        <v>25</v>
      </c>
      <c r="C267" t="s">
        <v>26</v>
      </c>
      <c r="D267" t="s">
        <v>89</v>
      </c>
      <c r="E267" s="81">
        <v>43823</v>
      </c>
      <c r="F267" s="81">
        <v>43825</v>
      </c>
      <c r="G267" s="30">
        <v>-504.2</v>
      </c>
      <c r="H267" t="s">
        <v>318</v>
      </c>
      <c r="I267" t="s">
        <v>319</v>
      </c>
      <c r="K267" t="b">
        <v>0</v>
      </c>
    </row>
    <row r="268" spans="1:11" x14ac:dyDescent="0.25">
      <c r="A268">
        <v>690</v>
      </c>
      <c r="B268" t="s">
        <v>25</v>
      </c>
      <c r="C268" t="s">
        <v>26</v>
      </c>
      <c r="D268" t="s">
        <v>89</v>
      </c>
      <c r="E268" s="81">
        <v>43823</v>
      </c>
      <c r="F268" s="81">
        <v>43825</v>
      </c>
      <c r="G268" s="30">
        <v>-504.3</v>
      </c>
      <c r="H268" t="s">
        <v>318</v>
      </c>
      <c r="I268" t="s">
        <v>319</v>
      </c>
      <c r="K268" t="b">
        <v>0</v>
      </c>
    </row>
    <row r="269" spans="1:11" x14ac:dyDescent="0.25">
      <c r="A269">
        <v>689</v>
      </c>
      <c r="B269" t="s">
        <v>25</v>
      </c>
      <c r="C269" t="s">
        <v>26</v>
      </c>
      <c r="D269" t="s">
        <v>89</v>
      </c>
      <c r="E269" s="81">
        <v>43823</v>
      </c>
      <c r="F269" s="81">
        <v>43825</v>
      </c>
      <c r="G269" s="30">
        <v>991.87</v>
      </c>
      <c r="H269" t="s">
        <v>125</v>
      </c>
      <c r="K269" t="b">
        <v>0</v>
      </c>
    </row>
    <row r="270" spans="1:11" x14ac:dyDescent="0.25">
      <c r="A270">
        <v>688</v>
      </c>
      <c r="B270" t="s">
        <v>25</v>
      </c>
      <c r="C270" t="s">
        <v>26</v>
      </c>
      <c r="D270" t="s">
        <v>89</v>
      </c>
      <c r="E270" s="81">
        <v>43823</v>
      </c>
      <c r="F270" s="81">
        <v>43825</v>
      </c>
      <c r="G270" s="30">
        <v>1500</v>
      </c>
      <c r="H270" t="s">
        <v>125</v>
      </c>
      <c r="K270" t="b">
        <v>0</v>
      </c>
    </row>
    <row r="271" spans="1:11" x14ac:dyDescent="0.25">
      <c r="A271">
        <v>661</v>
      </c>
      <c r="B271" t="s">
        <v>25</v>
      </c>
      <c r="C271" t="s">
        <v>26</v>
      </c>
      <c r="D271" t="s">
        <v>89</v>
      </c>
      <c r="E271" s="81">
        <v>43822</v>
      </c>
      <c r="G271" s="30">
        <v>-0.35</v>
      </c>
      <c r="H271" t="s">
        <v>260</v>
      </c>
      <c r="K271" t="b">
        <v>1</v>
      </c>
    </row>
    <row r="272" spans="1:11" x14ac:dyDescent="0.25">
      <c r="A272">
        <v>662</v>
      </c>
      <c r="B272" t="s">
        <v>25</v>
      </c>
      <c r="C272" t="s">
        <v>50</v>
      </c>
      <c r="D272" t="s">
        <v>90</v>
      </c>
      <c r="E272" s="81">
        <v>43822</v>
      </c>
      <c r="G272" s="30">
        <v>-0.05</v>
      </c>
      <c r="H272" t="s">
        <v>260</v>
      </c>
      <c r="K272" t="b">
        <v>1</v>
      </c>
    </row>
    <row r="273" spans="1:11" x14ac:dyDescent="0.25">
      <c r="A273">
        <v>644</v>
      </c>
      <c r="B273" t="s">
        <v>25</v>
      </c>
      <c r="C273" t="s">
        <v>26</v>
      </c>
      <c r="D273" t="s">
        <v>89</v>
      </c>
      <c r="E273" s="81">
        <v>43820</v>
      </c>
      <c r="F273" s="81">
        <v>43822</v>
      </c>
      <c r="G273" s="30">
        <v>1450</v>
      </c>
      <c r="H273" t="s">
        <v>125</v>
      </c>
      <c r="K273" t="b">
        <v>0</v>
      </c>
    </row>
    <row r="274" spans="1:11" x14ac:dyDescent="0.25">
      <c r="A274">
        <v>629</v>
      </c>
      <c r="B274" t="s">
        <v>25</v>
      </c>
      <c r="C274" t="s">
        <v>26</v>
      </c>
      <c r="D274" t="s">
        <v>89</v>
      </c>
      <c r="E274" s="81">
        <v>43819</v>
      </c>
      <c r="F274" s="81">
        <v>43820</v>
      </c>
      <c r="G274" s="30">
        <v>1057</v>
      </c>
      <c r="H274" t="s">
        <v>125</v>
      </c>
      <c r="K274" t="b">
        <v>0</v>
      </c>
    </row>
    <row r="275" spans="1:11" x14ac:dyDescent="0.25">
      <c r="A275">
        <v>628</v>
      </c>
      <c r="B275" t="s">
        <v>25</v>
      </c>
      <c r="C275" t="s">
        <v>26</v>
      </c>
      <c r="D275" t="s">
        <v>89</v>
      </c>
      <c r="E275" s="81">
        <v>43819</v>
      </c>
      <c r="F275" s="81">
        <v>43820</v>
      </c>
      <c r="G275" s="30">
        <v>400</v>
      </c>
      <c r="H275" t="s">
        <v>125</v>
      </c>
      <c r="K275" t="b">
        <v>0</v>
      </c>
    </row>
    <row r="276" spans="1:11" x14ac:dyDescent="0.25">
      <c r="A276">
        <v>591</v>
      </c>
      <c r="B276" t="s">
        <v>25</v>
      </c>
      <c r="C276" t="s">
        <v>26</v>
      </c>
      <c r="D276" t="s">
        <v>89</v>
      </c>
      <c r="E276" s="81">
        <v>43817</v>
      </c>
      <c r="F276" s="81">
        <v>43818</v>
      </c>
      <c r="G276" s="30">
        <v>-20.5</v>
      </c>
      <c r="H276" t="s">
        <v>317</v>
      </c>
      <c r="I276" t="s">
        <v>319</v>
      </c>
      <c r="K276" t="b">
        <v>0</v>
      </c>
    </row>
    <row r="277" spans="1:11" x14ac:dyDescent="0.25">
      <c r="A277">
        <v>590</v>
      </c>
      <c r="B277" t="s">
        <v>25</v>
      </c>
      <c r="C277" t="s">
        <v>26</v>
      </c>
      <c r="D277" t="s">
        <v>89</v>
      </c>
      <c r="E277" s="81">
        <v>43817</v>
      </c>
      <c r="F277" s="81">
        <v>43818</v>
      </c>
      <c r="G277" s="30">
        <v>-50</v>
      </c>
      <c r="H277" t="s">
        <v>276</v>
      </c>
      <c r="I277" t="s">
        <v>304</v>
      </c>
      <c r="K277" t="b">
        <v>0</v>
      </c>
    </row>
    <row r="278" spans="1:11" x14ac:dyDescent="0.25">
      <c r="A278">
        <v>592</v>
      </c>
      <c r="B278" t="s">
        <v>25</v>
      </c>
      <c r="C278" t="s">
        <v>50</v>
      </c>
      <c r="D278" t="s">
        <v>90</v>
      </c>
      <c r="E278" s="81">
        <v>43817</v>
      </c>
      <c r="F278" s="81">
        <v>43818</v>
      </c>
      <c r="G278" s="30">
        <v>600</v>
      </c>
      <c r="H278" t="s">
        <v>125</v>
      </c>
      <c r="K278" t="b">
        <v>0</v>
      </c>
    </row>
    <row r="279" spans="1:11" x14ac:dyDescent="0.25">
      <c r="A279">
        <v>555</v>
      </c>
      <c r="B279" t="s">
        <v>25</v>
      </c>
      <c r="C279" t="s">
        <v>26</v>
      </c>
      <c r="D279" t="s">
        <v>89</v>
      </c>
      <c r="E279" s="81">
        <v>43815</v>
      </c>
      <c r="F279" s="81">
        <v>43816</v>
      </c>
      <c r="G279" s="30">
        <v>205</v>
      </c>
      <c r="H279" t="s">
        <v>125</v>
      </c>
      <c r="K279" t="b">
        <v>0</v>
      </c>
    </row>
    <row r="280" spans="1:11" x14ac:dyDescent="0.25">
      <c r="A280">
        <v>556</v>
      </c>
      <c r="B280" t="s">
        <v>25</v>
      </c>
      <c r="C280" t="s">
        <v>26</v>
      </c>
      <c r="D280" t="s">
        <v>89</v>
      </c>
      <c r="E280" s="81">
        <v>43815</v>
      </c>
      <c r="F280" s="81">
        <v>43816</v>
      </c>
      <c r="G280" s="30">
        <v>6.8</v>
      </c>
      <c r="H280" t="s">
        <v>320</v>
      </c>
      <c r="K280" t="b">
        <v>0</v>
      </c>
    </row>
    <row r="281" spans="1:11" x14ac:dyDescent="0.25">
      <c r="A281">
        <v>557</v>
      </c>
      <c r="B281" t="s">
        <v>25</v>
      </c>
      <c r="C281" t="s">
        <v>50</v>
      </c>
      <c r="D281" t="s">
        <v>90</v>
      </c>
      <c r="E281" s="81">
        <v>43815</v>
      </c>
      <c r="F281" s="81">
        <v>43816</v>
      </c>
      <c r="G281" s="30">
        <v>1.5</v>
      </c>
      <c r="H281" t="s">
        <v>321</v>
      </c>
      <c r="K281" t="b">
        <v>0</v>
      </c>
    </row>
    <row r="282" spans="1:11" x14ac:dyDescent="0.25">
      <c r="A282">
        <v>514</v>
      </c>
      <c r="B282" t="s">
        <v>25</v>
      </c>
      <c r="C282" t="s">
        <v>26</v>
      </c>
      <c r="D282" t="s">
        <v>89</v>
      </c>
      <c r="E282" s="81">
        <v>43812</v>
      </c>
      <c r="F282" s="81">
        <v>43813</v>
      </c>
      <c r="G282" s="30">
        <v>136000</v>
      </c>
      <c r="H282" t="s">
        <v>322</v>
      </c>
      <c r="K282" t="b">
        <v>0</v>
      </c>
    </row>
    <row r="283" spans="1:11" x14ac:dyDescent="0.25">
      <c r="A283">
        <v>496</v>
      </c>
      <c r="B283" t="s">
        <v>25</v>
      </c>
      <c r="C283" t="s">
        <v>26</v>
      </c>
      <c r="D283" t="s">
        <v>89</v>
      </c>
      <c r="E283" s="81">
        <v>43811</v>
      </c>
      <c r="F283" s="81">
        <v>43811</v>
      </c>
      <c r="G283" s="30">
        <v>-9</v>
      </c>
      <c r="H283" t="s">
        <v>323</v>
      </c>
      <c r="I283" t="s">
        <v>324</v>
      </c>
      <c r="J283" t="s">
        <v>295</v>
      </c>
      <c r="K283" t="b">
        <v>0</v>
      </c>
    </row>
    <row r="284" spans="1:11" x14ac:dyDescent="0.25">
      <c r="A284">
        <v>464</v>
      </c>
      <c r="B284" t="s">
        <v>25</v>
      </c>
      <c r="C284" t="s">
        <v>26</v>
      </c>
      <c r="D284" t="s">
        <v>89</v>
      </c>
      <c r="E284" s="81">
        <v>43809</v>
      </c>
      <c r="F284" s="81">
        <v>43810</v>
      </c>
      <c r="G284" s="30">
        <v>-7.5</v>
      </c>
      <c r="H284" t="s">
        <v>276</v>
      </c>
      <c r="I284" t="s">
        <v>319</v>
      </c>
      <c r="K284" t="b">
        <v>0</v>
      </c>
    </row>
    <row r="285" spans="1:11" x14ac:dyDescent="0.25">
      <c r="A285">
        <v>414</v>
      </c>
      <c r="B285" t="s">
        <v>25</v>
      </c>
      <c r="C285" t="s">
        <v>26</v>
      </c>
      <c r="D285" t="s">
        <v>89</v>
      </c>
      <c r="E285" s="81">
        <v>43806</v>
      </c>
      <c r="F285" s="81">
        <v>43808</v>
      </c>
      <c r="G285" s="30">
        <v>40</v>
      </c>
      <c r="H285" t="s">
        <v>125</v>
      </c>
      <c r="K285" t="b">
        <v>0</v>
      </c>
    </row>
    <row r="286" spans="1:11" x14ac:dyDescent="0.25">
      <c r="A286">
        <v>344</v>
      </c>
      <c r="B286" t="s">
        <v>25</v>
      </c>
      <c r="C286" t="s">
        <v>26</v>
      </c>
      <c r="D286" t="s">
        <v>89</v>
      </c>
      <c r="E286" s="81">
        <v>43802</v>
      </c>
      <c r="F286" s="81">
        <v>43805</v>
      </c>
      <c r="G286" s="30">
        <v>-7.5</v>
      </c>
      <c r="H286" t="s">
        <v>317</v>
      </c>
      <c r="I286" t="s">
        <v>325</v>
      </c>
      <c r="K286" t="b">
        <v>0</v>
      </c>
    </row>
    <row r="287" spans="1:11" x14ac:dyDescent="0.25">
      <c r="A287">
        <v>343</v>
      </c>
      <c r="B287" t="s">
        <v>25</v>
      </c>
      <c r="C287" t="s">
        <v>26</v>
      </c>
      <c r="D287" t="s">
        <v>89</v>
      </c>
      <c r="E287" s="81">
        <v>43802</v>
      </c>
      <c r="F287" s="81">
        <v>43803</v>
      </c>
      <c r="G287" s="30">
        <v>-10</v>
      </c>
      <c r="H287" t="s">
        <v>317</v>
      </c>
      <c r="I287" t="s">
        <v>265</v>
      </c>
      <c r="K287" t="b">
        <v>0</v>
      </c>
    </row>
    <row r="288" spans="1:11" x14ac:dyDescent="0.25">
      <c r="A288">
        <v>345</v>
      </c>
      <c r="B288" t="s">
        <v>25</v>
      </c>
      <c r="C288" t="s">
        <v>50</v>
      </c>
      <c r="D288" t="s">
        <v>90</v>
      </c>
      <c r="E288" s="81">
        <v>43802</v>
      </c>
      <c r="F288" s="81">
        <v>43803</v>
      </c>
      <c r="G288" s="30">
        <v>-2.8</v>
      </c>
      <c r="H288" t="s">
        <v>326</v>
      </c>
      <c r="I288" t="s">
        <v>327</v>
      </c>
      <c r="K288" t="b">
        <v>0</v>
      </c>
    </row>
    <row r="289" spans="1:11" x14ac:dyDescent="0.25">
      <c r="A289">
        <v>325</v>
      </c>
      <c r="B289" t="s">
        <v>25</v>
      </c>
      <c r="C289" t="s">
        <v>26</v>
      </c>
      <c r="D289" t="s">
        <v>89</v>
      </c>
      <c r="E289" s="81">
        <v>43801</v>
      </c>
      <c r="F289" s="81">
        <v>43802</v>
      </c>
      <c r="G289" s="30">
        <v>100</v>
      </c>
      <c r="H289" t="s">
        <v>328</v>
      </c>
      <c r="K289" t="b">
        <v>0</v>
      </c>
    </row>
    <row r="290" spans="1:11" x14ac:dyDescent="0.25">
      <c r="A290">
        <v>326</v>
      </c>
      <c r="B290" t="s">
        <v>25</v>
      </c>
      <c r="C290" t="s">
        <v>50</v>
      </c>
      <c r="D290" t="s">
        <v>90</v>
      </c>
      <c r="E290" s="81">
        <v>43801</v>
      </c>
      <c r="F290" s="81">
        <v>43802</v>
      </c>
      <c r="G290" s="30">
        <v>-15</v>
      </c>
      <c r="H290" t="s">
        <v>326</v>
      </c>
      <c r="I290" t="s">
        <v>329</v>
      </c>
      <c r="K290" t="b">
        <v>0</v>
      </c>
    </row>
    <row r="291" spans="1:11" x14ac:dyDescent="0.25">
      <c r="A291">
        <v>299</v>
      </c>
      <c r="B291" t="s">
        <v>25</v>
      </c>
      <c r="C291" t="s">
        <v>50</v>
      </c>
      <c r="D291" t="s">
        <v>90</v>
      </c>
      <c r="E291" s="81">
        <v>43798</v>
      </c>
      <c r="F291" s="81">
        <v>43799</v>
      </c>
      <c r="G291" s="30">
        <v>134.9</v>
      </c>
      <c r="H291" t="s">
        <v>328</v>
      </c>
      <c r="K291" t="b">
        <v>0</v>
      </c>
    </row>
    <row r="292" spans="1:11" x14ac:dyDescent="0.25">
      <c r="A292">
        <v>260</v>
      </c>
      <c r="B292" t="s">
        <v>25</v>
      </c>
      <c r="C292" t="s">
        <v>26</v>
      </c>
      <c r="D292" t="s">
        <v>89</v>
      </c>
      <c r="E292" s="81">
        <v>43797</v>
      </c>
      <c r="F292" s="81">
        <v>43798</v>
      </c>
      <c r="G292" s="30">
        <v>850</v>
      </c>
      <c r="H292" t="s">
        <v>125</v>
      </c>
      <c r="K292" t="b">
        <v>0</v>
      </c>
    </row>
    <row r="293" spans="1:11" x14ac:dyDescent="0.25">
      <c r="A293">
        <v>259</v>
      </c>
      <c r="B293" t="s">
        <v>25</v>
      </c>
      <c r="C293" t="s">
        <v>26</v>
      </c>
      <c r="D293" t="s">
        <v>89</v>
      </c>
      <c r="E293" s="81">
        <v>43797</v>
      </c>
      <c r="F293" s="81">
        <v>43798</v>
      </c>
      <c r="G293" s="30">
        <v>155</v>
      </c>
      <c r="H293" t="s">
        <v>125</v>
      </c>
      <c r="K293" t="b">
        <v>0</v>
      </c>
    </row>
    <row r="294" spans="1:11" x14ac:dyDescent="0.25">
      <c r="A294">
        <v>258</v>
      </c>
      <c r="B294" t="s">
        <v>25</v>
      </c>
      <c r="C294" t="s">
        <v>26</v>
      </c>
      <c r="D294" t="s">
        <v>89</v>
      </c>
      <c r="E294" s="81">
        <v>43797</v>
      </c>
      <c r="F294" s="81">
        <v>43798</v>
      </c>
      <c r="G294" s="30">
        <v>3000</v>
      </c>
      <c r="H294" t="s">
        <v>125</v>
      </c>
      <c r="K294" t="b">
        <v>0</v>
      </c>
    </row>
    <row r="295" spans="1:11" x14ac:dyDescent="0.25">
      <c r="A295">
        <v>257</v>
      </c>
      <c r="B295" t="s">
        <v>25</v>
      </c>
      <c r="C295" t="s">
        <v>26</v>
      </c>
      <c r="D295" t="s">
        <v>89</v>
      </c>
      <c r="E295" s="81">
        <v>43797</v>
      </c>
      <c r="F295" s="81">
        <v>43798</v>
      </c>
      <c r="G295" s="30">
        <v>1000</v>
      </c>
      <c r="H295" t="s">
        <v>125</v>
      </c>
      <c r="K295" t="b">
        <v>0</v>
      </c>
    </row>
    <row r="296" spans="1:11" x14ac:dyDescent="0.25">
      <c r="A296">
        <v>261</v>
      </c>
      <c r="B296" t="s">
        <v>25</v>
      </c>
      <c r="C296" t="s">
        <v>26</v>
      </c>
      <c r="D296" t="s">
        <v>89</v>
      </c>
      <c r="E296" s="81">
        <v>43797</v>
      </c>
      <c r="F296" s="81">
        <v>43798</v>
      </c>
      <c r="G296" s="30">
        <v>0.1</v>
      </c>
      <c r="H296" t="s">
        <v>330</v>
      </c>
      <c r="I296" t="s">
        <v>331</v>
      </c>
      <c r="K296" t="b">
        <v>0</v>
      </c>
    </row>
    <row r="297" spans="1:11" x14ac:dyDescent="0.25">
      <c r="A297">
        <v>228</v>
      </c>
      <c r="B297" t="s">
        <v>25</v>
      </c>
      <c r="C297" t="s">
        <v>26</v>
      </c>
      <c r="D297" t="s">
        <v>89</v>
      </c>
      <c r="E297" s="81">
        <v>43796</v>
      </c>
      <c r="F297" s="81">
        <v>43797</v>
      </c>
      <c r="G297" s="30">
        <v>900</v>
      </c>
      <c r="H297" t="s">
        <v>125</v>
      </c>
      <c r="K297" t="b">
        <v>0</v>
      </c>
    </row>
    <row r="298" spans="1:11" x14ac:dyDescent="0.25">
      <c r="A298">
        <v>227</v>
      </c>
      <c r="B298" t="s">
        <v>25</v>
      </c>
      <c r="C298" t="s">
        <v>26</v>
      </c>
      <c r="D298" t="s">
        <v>89</v>
      </c>
      <c r="E298" s="81">
        <v>43796</v>
      </c>
      <c r="F298" s="81">
        <v>43797</v>
      </c>
      <c r="G298" s="30">
        <v>900</v>
      </c>
      <c r="H298" t="s">
        <v>125</v>
      </c>
      <c r="K298" t="b">
        <v>0</v>
      </c>
    </row>
    <row r="299" spans="1:11" x14ac:dyDescent="0.25">
      <c r="A299">
        <v>208</v>
      </c>
      <c r="B299" t="s">
        <v>25</v>
      </c>
      <c r="C299" t="s">
        <v>26</v>
      </c>
      <c r="D299" t="s">
        <v>89</v>
      </c>
      <c r="E299" s="81">
        <v>43796</v>
      </c>
      <c r="G299" s="30">
        <v>-10</v>
      </c>
      <c r="H299" t="s">
        <v>317</v>
      </c>
      <c r="I299" t="s">
        <v>334</v>
      </c>
      <c r="K299" t="b">
        <v>1</v>
      </c>
    </row>
    <row r="300" spans="1:11" x14ac:dyDescent="0.25">
      <c r="A300">
        <v>207</v>
      </c>
      <c r="B300" t="s">
        <v>25</v>
      </c>
      <c r="C300" t="s">
        <v>26</v>
      </c>
      <c r="D300" t="s">
        <v>89</v>
      </c>
      <c r="E300" s="81">
        <v>43796</v>
      </c>
      <c r="G300" s="30">
        <v>200</v>
      </c>
      <c r="H300" t="s">
        <v>332</v>
      </c>
      <c r="I300" t="s">
        <v>333</v>
      </c>
      <c r="K300" t="b">
        <v>1</v>
      </c>
    </row>
    <row r="301" spans="1:11" x14ac:dyDescent="0.25">
      <c r="A301">
        <v>209</v>
      </c>
      <c r="B301" t="s">
        <v>25</v>
      </c>
      <c r="C301" t="s">
        <v>50</v>
      </c>
      <c r="D301" t="s">
        <v>90</v>
      </c>
      <c r="E301" s="81">
        <v>43796</v>
      </c>
      <c r="G301" s="30">
        <v>-2000</v>
      </c>
      <c r="H301" t="s">
        <v>311</v>
      </c>
      <c r="K301" t="b">
        <v>1</v>
      </c>
    </row>
    <row r="302" spans="1:11" x14ac:dyDescent="0.25">
      <c r="A302">
        <v>199</v>
      </c>
      <c r="B302" t="s">
        <v>25</v>
      </c>
      <c r="C302" t="s">
        <v>26</v>
      </c>
      <c r="D302" t="s">
        <v>89</v>
      </c>
      <c r="E302" s="81">
        <v>43795</v>
      </c>
      <c r="F302" s="81">
        <v>43796</v>
      </c>
      <c r="G302" s="30">
        <v>500</v>
      </c>
      <c r="H302" t="s">
        <v>125</v>
      </c>
      <c r="K302" t="b">
        <v>0</v>
      </c>
    </row>
    <row r="303" spans="1:11" x14ac:dyDescent="0.25">
      <c r="A303">
        <v>226</v>
      </c>
      <c r="B303" t="s">
        <v>25</v>
      </c>
      <c r="C303" t="s">
        <v>26</v>
      </c>
      <c r="D303" t="s">
        <v>89</v>
      </c>
      <c r="E303" s="81">
        <v>43795</v>
      </c>
      <c r="F303" s="81">
        <v>43796</v>
      </c>
      <c r="G303" s="30">
        <v>-10</v>
      </c>
      <c r="H303" t="s">
        <v>257</v>
      </c>
      <c r="K303" t="b">
        <v>0</v>
      </c>
    </row>
    <row r="304" spans="1:11" x14ac:dyDescent="0.25">
      <c r="A304">
        <v>200</v>
      </c>
      <c r="B304" t="s">
        <v>25</v>
      </c>
      <c r="C304" t="s">
        <v>26</v>
      </c>
      <c r="D304" t="s">
        <v>89</v>
      </c>
      <c r="E304" s="81">
        <v>43795</v>
      </c>
      <c r="F304" s="81">
        <v>43796</v>
      </c>
      <c r="G304" s="30">
        <v>149</v>
      </c>
      <c r="H304" t="s">
        <v>125</v>
      </c>
      <c r="K304" t="b">
        <v>0</v>
      </c>
    </row>
    <row r="305" spans="1:11" x14ac:dyDescent="0.25">
      <c r="A305">
        <v>179</v>
      </c>
      <c r="B305" t="s">
        <v>25</v>
      </c>
      <c r="C305" t="s">
        <v>26</v>
      </c>
      <c r="D305" t="s">
        <v>89</v>
      </c>
      <c r="E305" s="81">
        <v>43794</v>
      </c>
      <c r="F305" s="81">
        <v>43797</v>
      </c>
      <c r="G305" s="30">
        <v>-0.3</v>
      </c>
      <c r="H305" t="s">
        <v>335</v>
      </c>
      <c r="I305" t="s">
        <v>331</v>
      </c>
      <c r="J305" t="s">
        <v>120</v>
      </c>
      <c r="K305" t="b">
        <v>0</v>
      </c>
    </row>
    <row r="306" spans="1:11" x14ac:dyDescent="0.25">
      <c r="A306">
        <v>175</v>
      </c>
      <c r="B306" t="s">
        <v>25</v>
      </c>
      <c r="C306" t="s">
        <v>26</v>
      </c>
      <c r="D306" t="s">
        <v>89</v>
      </c>
      <c r="E306" s="81">
        <v>43794</v>
      </c>
      <c r="F306" s="81">
        <v>43795</v>
      </c>
      <c r="G306" s="30">
        <v>3000</v>
      </c>
      <c r="H306" t="s">
        <v>125</v>
      </c>
      <c r="K306" t="b">
        <v>0</v>
      </c>
    </row>
    <row r="307" spans="1:11" x14ac:dyDescent="0.25">
      <c r="A307">
        <v>176</v>
      </c>
      <c r="B307" t="s">
        <v>25</v>
      </c>
      <c r="C307" t="s">
        <v>26</v>
      </c>
      <c r="D307" t="s">
        <v>89</v>
      </c>
      <c r="E307" s="81">
        <v>43794</v>
      </c>
      <c r="F307" s="81">
        <v>43795</v>
      </c>
      <c r="G307" s="30">
        <v>2000</v>
      </c>
      <c r="H307" t="s">
        <v>125</v>
      </c>
      <c r="K307" t="b">
        <v>0</v>
      </c>
    </row>
    <row r="308" spans="1:11" x14ac:dyDescent="0.25">
      <c r="A308">
        <v>177</v>
      </c>
      <c r="B308" t="s">
        <v>25</v>
      </c>
      <c r="C308" t="s">
        <v>26</v>
      </c>
      <c r="D308" t="s">
        <v>89</v>
      </c>
      <c r="E308" s="81">
        <v>43794</v>
      </c>
      <c r="F308" s="81">
        <v>43795</v>
      </c>
      <c r="G308" s="30">
        <v>200</v>
      </c>
      <c r="H308" t="s">
        <v>125</v>
      </c>
      <c r="K308" t="b">
        <v>0</v>
      </c>
    </row>
    <row r="309" spans="1:11" x14ac:dyDescent="0.25">
      <c r="A309">
        <v>181</v>
      </c>
      <c r="B309" t="s">
        <v>25</v>
      </c>
      <c r="C309" t="s">
        <v>26</v>
      </c>
      <c r="D309" t="s">
        <v>89</v>
      </c>
      <c r="E309" s="81">
        <v>43794</v>
      </c>
      <c r="F309" s="81">
        <v>43795</v>
      </c>
      <c r="G309" s="30">
        <v>-11.5</v>
      </c>
      <c r="H309" t="s">
        <v>280</v>
      </c>
      <c r="I309" t="s">
        <v>302</v>
      </c>
      <c r="K309" t="b">
        <v>0</v>
      </c>
    </row>
    <row r="310" spans="1:11" x14ac:dyDescent="0.25">
      <c r="A310">
        <v>180</v>
      </c>
      <c r="B310" t="s">
        <v>25</v>
      </c>
      <c r="C310" t="s">
        <v>26</v>
      </c>
      <c r="D310" t="s">
        <v>89</v>
      </c>
      <c r="E310" s="81">
        <v>43794</v>
      </c>
      <c r="F310" s="81">
        <v>43795</v>
      </c>
      <c r="G310" s="30">
        <v>-75</v>
      </c>
      <c r="H310" t="s">
        <v>280</v>
      </c>
      <c r="I310" t="s">
        <v>306</v>
      </c>
      <c r="K310" t="b">
        <v>0</v>
      </c>
    </row>
    <row r="311" spans="1:11" x14ac:dyDescent="0.25">
      <c r="A311">
        <v>178</v>
      </c>
      <c r="B311" t="s">
        <v>25</v>
      </c>
      <c r="C311" t="s">
        <v>26</v>
      </c>
      <c r="D311" t="s">
        <v>89</v>
      </c>
      <c r="E311" s="81">
        <v>43794</v>
      </c>
      <c r="G311" s="30">
        <v>-15000</v>
      </c>
      <c r="H311" t="s">
        <v>335</v>
      </c>
      <c r="I311" t="s">
        <v>331</v>
      </c>
      <c r="K311" t="b">
        <v>1</v>
      </c>
    </row>
    <row r="312" spans="1:11" x14ac:dyDescent="0.25">
      <c r="A312">
        <v>158</v>
      </c>
      <c r="B312" t="s">
        <v>25</v>
      </c>
      <c r="C312" t="s">
        <v>26</v>
      </c>
      <c r="D312" t="s">
        <v>89</v>
      </c>
      <c r="E312" s="81">
        <v>43791</v>
      </c>
      <c r="F312" s="81">
        <v>43792</v>
      </c>
      <c r="G312" s="30">
        <v>2000</v>
      </c>
      <c r="H312" t="s">
        <v>125</v>
      </c>
      <c r="K312" t="b">
        <v>0</v>
      </c>
    </row>
    <row r="313" spans="1:11" x14ac:dyDescent="0.25">
      <c r="A313">
        <v>157</v>
      </c>
      <c r="B313" t="s">
        <v>25</v>
      </c>
      <c r="C313" t="s">
        <v>26</v>
      </c>
      <c r="D313" t="s">
        <v>89</v>
      </c>
      <c r="E313" s="81">
        <v>43791</v>
      </c>
      <c r="F313" s="81">
        <v>43792</v>
      </c>
      <c r="G313" s="30">
        <v>2000</v>
      </c>
      <c r="H313" t="s">
        <v>125</v>
      </c>
      <c r="K313" t="b">
        <v>0</v>
      </c>
    </row>
    <row r="314" spans="1:11" x14ac:dyDescent="0.25">
      <c r="A314">
        <v>138</v>
      </c>
      <c r="B314" t="s">
        <v>25</v>
      </c>
      <c r="C314" t="s">
        <v>26</v>
      </c>
      <c r="D314" t="s">
        <v>89</v>
      </c>
      <c r="E314" s="81">
        <v>43790</v>
      </c>
      <c r="F314" s="81">
        <v>43791</v>
      </c>
      <c r="G314" s="30">
        <v>1000</v>
      </c>
      <c r="H314" t="s">
        <v>125</v>
      </c>
      <c r="K314" t="b">
        <v>0</v>
      </c>
    </row>
    <row r="315" spans="1:11" x14ac:dyDescent="0.25">
      <c r="A315">
        <v>95</v>
      </c>
      <c r="B315" t="s">
        <v>25</v>
      </c>
      <c r="C315" t="s">
        <v>26</v>
      </c>
      <c r="D315" t="s">
        <v>89</v>
      </c>
      <c r="E315" s="81">
        <v>43788</v>
      </c>
      <c r="F315" s="81">
        <v>43790</v>
      </c>
      <c r="G315" s="30">
        <v>-50</v>
      </c>
      <c r="H315" t="s">
        <v>336</v>
      </c>
      <c r="I315" t="s">
        <v>337</v>
      </c>
      <c r="J315" t="s">
        <v>298</v>
      </c>
      <c r="K315" t="b">
        <v>0</v>
      </c>
    </row>
    <row r="316" spans="1:11" x14ac:dyDescent="0.25">
      <c r="A316">
        <v>206</v>
      </c>
      <c r="B316" t="s">
        <v>25</v>
      </c>
      <c r="C316" t="s">
        <v>26</v>
      </c>
      <c r="D316" t="s">
        <v>89</v>
      </c>
      <c r="E316" s="81">
        <v>43782</v>
      </c>
      <c r="F316" s="81">
        <v>43783</v>
      </c>
      <c r="G316" s="30">
        <v>-20</v>
      </c>
      <c r="H316" t="s">
        <v>257</v>
      </c>
      <c r="K316" t="b">
        <v>0</v>
      </c>
    </row>
    <row r="317" spans="1:11" x14ac:dyDescent="0.25">
      <c r="A317">
        <v>205</v>
      </c>
      <c r="B317" t="s">
        <v>25</v>
      </c>
      <c r="C317" t="s">
        <v>26</v>
      </c>
      <c r="D317" t="s">
        <v>89</v>
      </c>
      <c r="E317" s="81">
        <v>43781</v>
      </c>
      <c r="F317" s="81">
        <v>43782</v>
      </c>
      <c r="G317" s="30">
        <v>-7.5</v>
      </c>
      <c r="H317" t="s">
        <v>257</v>
      </c>
      <c r="K317" t="b">
        <v>0</v>
      </c>
    </row>
    <row r="318" spans="1:11" x14ac:dyDescent="0.25">
      <c r="A318">
        <v>204</v>
      </c>
      <c r="B318" t="s">
        <v>25</v>
      </c>
      <c r="C318" t="s">
        <v>26</v>
      </c>
      <c r="D318" t="s">
        <v>89</v>
      </c>
      <c r="E318" s="81">
        <v>43780</v>
      </c>
      <c r="F318" s="81">
        <v>43781</v>
      </c>
      <c r="G318" s="30">
        <v>1.5</v>
      </c>
      <c r="H318" t="s">
        <v>258</v>
      </c>
      <c r="K318" t="b">
        <v>0</v>
      </c>
    </row>
    <row r="319" spans="1:11" x14ac:dyDescent="0.25">
      <c r="A319">
        <v>203</v>
      </c>
      <c r="B319" t="s">
        <v>25</v>
      </c>
      <c r="C319" t="s">
        <v>26</v>
      </c>
      <c r="D319" t="s">
        <v>89</v>
      </c>
      <c r="E319" s="81">
        <v>43777</v>
      </c>
      <c r="F319" s="81">
        <v>43778</v>
      </c>
      <c r="G319" s="30">
        <v>300</v>
      </c>
      <c r="H319" t="s">
        <v>328</v>
      </c>
      <c r="K319" t="b">
        <v>0</v>
      </c>
    </row>
    <row r="320" spans="1:11" x14ac:dyDescent="0.25">
      <c r="A320">
        <v>202</v>
      </c>
      <c r="B320" t="s">
        <v>25</v>
      </c>
      <c r="C320" t="s">
        <v>26</v>
      </c>
      <c r="D320" t="s">
        <v>89</v>
      </c>
      <c r="E320" s="81">
        <v>43775</v>
      </c>
      <c r="F320" s="81">
        <v>43776</v>
      </c>
      <c r="G320" s="30">
        <v>1800</v>
      </c>
      <c r="H320" t="s">
        <v>125</v>
      </c>
      <c r="K320" t="b">
        <v>0</v>
      </c>
    </row>
    <row r="321" spans="1:11" x14ac:dyDescent="0.25">
      <c r="A321">
        <v>201</v>
      </c>
      <c r="B321" t="s">
        <v>25</v>
      </c>
      <c r="C321" t="s">
        <v>26</v>
      </c>
      <c r="D321" t="s">
        <v>89</v>
      </c>
      <c r="E321" s="81">
        <v>43773</v>
      </c>
      <c r="F321" s="81">
        <v>43775</v>
      </c>
      <c r="G321" s="30">
        <v>1.1000000000000001</v>
      </c>
      <c r="H321" t="s">
        <v>258</v>
      </c>
      <c r="K321" t="b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/>
  <dimension ref="A1:E35"/>
  <sheetViews>
    <sheetView workbookViewId="0">
      <selection activeCell="F5" sqref="F5"/>
    </sheetView>
  </sheetViews>
  <sheetFormatPr baseColWidth="10" defaultRowHeight="15" x14ac:dyDescent="0.25"/>
  <sheetData>
    <row r="1" spans="1:5" x14ac:dyDescent="0.25">
      <c r="A1" t="s">
        <v>12</v>
      </c>
      <c r="B1" t="s">
        <v>13</v>
      </c>
      <c r="C1" t="s">
        <v>14</v>
      </c>
      <c r="D1" t="s">
        <v>15</v>
      </c>
    </row>
    <row r="2" spans="1:5" x14ac:dyDescent="0.25">
      <c r="A2">
        <v>2</v>
      </c>
      <c r="B2" t="s">
        <v>1</v>
      </c>
      <c r="C2" t="s">
        <v>61</v>
      </c>
      <c r="D2" t="s">
        <v>89</v>
      </c>
    </row>
    <row r="3" spans="1:5" x14ac:dyDescent="0.25">
      <c r="A3">
        <v>1</v>
      </c>
      <c r="B3" t="s">
        <v>1</v>
      </c>
      <c r="C3" t="s">
        <v>62</v>
      </c>
      <c r="D3" t="s">
        <v>90</v>
      </c>
    </row>
    <row r="4" spans="1:5" x14ac:dyDescent="0.25">
      <c r="A4">
        <v>3</v>
      </c>
      <c r="B4" t="s">
        <v>16</v>
      </c>
      <c r="C4" t="s">
        <v>64</v>
      </c>
      <c r="D4" t="s">
        <v>89</v>
      </c>
    </row>
    <row r="5" spans="1:5" x14ac:dyDescent="0.25">
      <c r="A5">
        <v>4</v>
      </c>
      <c r="B5" t="s">
        <v>16</v>
      </c>
      <c r="C5" t="s">
        <v>63</v>
      </c>
      <c r="D5" t="s">
        <v>89</v>
      </c>
    </row>
    <row r="6" spans="1:5" x14ac:dyDescent="0.25">
      <c r="A6">
        <v>5</v>
      </c>
      <c r="B6" t="s">
        <v>16</v>
      </c>
      <c r="C6" t="s">
        <v>65</v>
      </c>
      <c r="D6" t="s">
        <v>90</v>
      </c>
    </row>
    <row r="7" spans="1:5" x14ac:dyDescent="0.25">
      <c r="A7">
        <v>6</v>
      </c>
      <c r="B7" t="s">
        <v>16</v>
      </c>
      <c r="C7" t="s">
        <v>66</v>
      </c>
      <c r="D7" t="s">
        <v>90</v>
      </c>
    </row>
    <row r="8" spans="1:5" ht="45" x14ac:dyDescent="0.25">
      <c r="A8">
        <v>35</v>
      </c>
      <c r="B8" s="9" t="s">
        <v>17</v>
      </c>
      <c r="C8" t="s">
        <v>31</v>
      </c>
      <c r="D8" t="s">
        <v>89</v>
      </c>
      <c r="E8" s="9"/>
    </row>
    <row r="9" spans="1:5" ht="45" x14ac:dyDescent="0.25">
      <c r="A9">
        <v>7</v>
      </c>
      <c r="B9" s="9" t="s">
        <v>17</v>
      </c>
      <c r="C9" t="s">
        <v>18</v>
      </c>
      <c r="D9" t="s">
        <v>89</v>
      </c>
      <c r="E9" s="9"/>
    </row>
    <row r="10" spans="1:5" x14ac:dyDescent="0.25">
      <c r="A10">
        <v>8</v>
      </c>
      <c r="B10" t="s">
        <v>17</v>
      </c>
      <c r="C10" t="s">
        <v>19</v>
      </c>
      <c r="D10" t="s">
        <v>89</v>
      </c>
    </row>
    <row r="11" spans="1:5" x14ac:dyDescent="0.25">
      <c r="A11">
        <v>10</v>
      </c>
      <c r="B11" t="s">
        <v>17</v>
      </c>
      <c r="C11" t="s">
        <v>20</v>
      </c>
      <c r="D11" t="s">
        <v>89</v>
      </c>
    </row>
    <row r="12" spans="1:5" x14ac:dyDescent="0.25">
      <c r="A12">
        <v>34</v>
      </c>
      <c r="B12" t="s">
        <v>17</v>
      </c>
      <c r="C12" t="s">
        <v>55</v>
      </c>
      <c r="D12" t="s">
        <v>90</v>
      </c>
    </row>
    <row r="13" spans="1:5" x14ac:dyDescent="0.25">
      <c r="A13">
        <v>9</v>
      </c>
      <c r="B13" t="s">
        <v>17</v>
      </c>
      <c r="C13" t="s">
        <v>44</v>
      </c>
      <c r="D13" t="s">
        <v>90</v>
      </c>
    </row>
    <row r="14" spans="1:5" x14ac:dyDescent="0.25">
      <c r="A14">
        <v>11</v>
      </c>
      <c r="B14" t="s">
        <v>17</v>
      </c>
      <c r="C14" t="s">
        <v>45</v>
      </c>
      <c r="D14" t="s">
        <v>90</v>
      </c>
    </row>
    <row r="15" spans="1:5" x14ac:dyDescent="0.25">
      <c r="A15">
        <v>12</v>
      </c>
      <c r="B15" t="s">
        <v>17</v>
      </c>
      <c r="C15" t="s">
        <v>46</v>
      </c>
      <c r="D15" t="s">
        <v>90</v>
      </c>
    </row>
    <row r="16" spans="1:5" x14ac:dyDescent="0.25">
      <c r="A16">
        <v>13</v>
      </c>
      <c r="B16" t="s">
        <v>67</v>
      </c>
      <c r="C16" t="s">
        <v>21</v>
      </c>
      <c r="D16" t="s">
        <v>89</v>
      </c>
    </row>
    <row r="17" spans="1:4" x14ac:dyDescent="0.25">
      <c r="A17">
        <v>14</v>
      </c>
      <c r="B17" t="s">
        <v>67</v>
      </c>
      <c r="C17" t="s">
        <v>47</v>
      </c>
      <c r="D17" t="s">
        <v>90</v>
      </c>
    </row>
    <row r="18" spans="1:4" x14ac:dyDescent="0.25">
      <c r="A18">
        <v>15</v>
      </c>
      <c r="B18" t="s">
        <v>22</v>
      </c>
      <c r="C18" t="s">
        <v>23</v>
      </c>
      <c r="D18" t="s">
        <v>89</v>
      </c>
    </row>
    <row r="19" spans="1:4" x14ac:dyDescent="0.25">
      <c r="A19">
        <v>17</v>
      </c>
      <c r="B19" t="s">
        <v>22</v>
      </c>
      <c r="C19" t="s">
        <v>24</v>
      </c>
      <c r="D19" t="s">
        <v>89</v>
      </c>
    </row>
    <row r="20" spans="1:4" x14ac:dyDescent="0.25">
      <c r="A20">
        <v>16</v>
      </c>
      <c r="B20" t="s">
        <v>22</v>
      </c>
      <c r="C20" t="s">
        <v>48</v>
      </c>
      <c r="D20" t="s">
        <v>90</v>
      </c>
    </row>
    <row r="21" spans="1:4" x14ac:dyDescent="0.25">
      <c r="A21">
        <v>18</v>
      </c>
      <c r="B21" t="s">
        <v>22</v>
      </c>
      <c r="C21" t="s">
        <v>49</v>
      </c>
      <c r="D21" t="s">
        <v>90</v>
      </c>
    </row>
    <row r="22" spans="1:4" x14ac:dyDescent="0.25">
      <c r="A22">
        <v>19</v>
      </c>
      <c r="B22" t="s">
        <v>25</v>
      </c>
      <c r="C22" t="s">
        <v>26</v>
      </c>
      <c r="D22" t="s">
        <v>89</v>
      </c>
    </row>
    <row r="23" spans="1:4" x14ac:dyDescent="0.25">
      <c r="A23">
        <v>20</v>
      </c>
      <c r="B23" t="s">
        <v>25</v>
      </c>
      <c r="C23" t="s">
        <v>50</v>
      </c>
      <c r="D23" t="s">
        <v>90</v>
      </c>
    </row>
    <row r="24" spans="1:4" x14ac:dyDescent="0.25">
      <c r="A24">
        <v>21</v>
      </c>
      <c r="B24" t="s">
        <v>27</v>
      </c>
      <c r="C24" t="s">
        <v>68</v>
      </c>
      <c r="D24" t="s">
        <v>89</v>
      </c>
    </row>
    <row r="25" spans="1:4" x14ac:dyDescent="0.25">
      <c r="A25">
        <v>23</v>
      </c>
      <c r="B25" t="s">
        <v>27</v>
      </c>
      <c r="C25" t="s">
        <v>28</v>
      </c>
      <c r="D25" t="s">
        <v>89</v>
      </c>
    </row>
    <row r="26" spans="1:4" x14ac:dyDescent="0.25">
      <c r="A26">
        <v>22</v>
      </c>
      <c r="B26" t="s">
        <v>27</v>
      </c>
      <c r="C26" t="s">
        <v>51</v>
      </c>
      <c r="D26" t="s">
        <v>90</v>
      </c>
    </row>
    <row r="27" spans="1:4" x14ac:dyDescent="0.25">
      <c r="A27">
        <v>24</v>
      </c>
      <c r="B27" t="s">
        <v>27</v>
      </c>
      <c r="C27" t="s">
        <v>69</v>
      </c>
      <c r="D27" t="s">
        <v>90</v>
      </c>
    </row>
    <row r="28" spans="1:4" x14ac:dyDescent="0.25">
      <c r="A28">
        <v>37</v>
      </c>
      <c r="B28" t="s">
        <v>60</v>
      </c>
      <c r="C28" t="s">
        <v>70</v>
      </c>
      <c r="D28" t="s">
        <v>89</v>
      </c>
    </row>
    <row r="29" spans="1:4" x14ac:dyDescent="0.25">
      <c r="A29">
        <v>36</v>
      </c>
      <c r="B29" t="s">
        <v>60</v>
      </c>
      <c r="C29" t="s">
        <v>71</v>
      </c>
      <c r="D29" t="s">
        <v>90</v>
      </c>
    </row>
    <row r="30" spans="1:4" x14ac:dyDescent="0.25">
      <c r="A30">
        <v>30</v>
      </c>
      <c r="B30" t="s">
        <v>29</v>
      </c>
      <c r="C30" t="s">
        <v>30</v>
      </c>
      <c r="D30" t="s">
        <v>89</v>
      </c>
    </row>
    <row r="31" spans="1:4" x14ac:dyDescent="0.25">
      <c r="A31">
        <v>25</v>
      </c>
      <c r="B31" t="s">
        <v>29</v>
      </c>
      <c r="C31" t="s">
        <v>72</v>
      </c>
      <c r="D31" t="s">
        <v>89</v>
      </c>
    </row>
    <row r="32" spans="1:4" x14ac:dyDescent="0.25">
      <c r="A32">
        <v>28</v>
      </c>
      <c r="B32" t="s">
        <v>29</v>
      </c>
      <c r="C32" t="s">
        <v>73</v>
      </c>
      <c r="D32" t="s">
        <v>89</v>
      </c>
    </row>
    <row r="33" spans="1:4" x14ac:dyDescent="0.25">
      <c r="A33">
        <v>31</v>
      </c>
      <c r="B33" t="s">
        <v>29</v>
      </c>
      <c r="C33" t="s">
        <v>54</v>
      </c>
      <c r="D33" t="s">
        <v>90</v>
      </c>
    </row>
    <row r="34" spans="1:4" x14ac:dyDescent="0.25">
      <c r="A34">
        <v>26</v>
      </c>
      <c r="B34" t="s">
        <v>29</v>
      </c>
      <c r="C34" t="s">
        <v>52</v>
      </c>
      <c r="D34" t="s">
        <v>90</v>
      </c>
    </row>
    <row r="35" spans="1:4" x14ac:dyDescent="0.25">
      <c r="A35">
        <v>27</v>
      </c>
      <c r="B35" t="s">
        <v>29</v>
      </c>
      <c r="C35" t="s">
        <v>53</v>
      </c>
      <c r="D35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39</vt:i4>
      </vt:variant>
    </vt:vector>
  </HeadingPairs>
  <TitlesOfParts>
    <vt:vector size="50" baseType="lpstr">
      <vt:lpstr>Main</vt:lpstr>
      <vt:lpstr>CALCULADORA</vt:lpstr>
      <vt:lpstr>Pendientes</vt:lpstr>
      <vt:lpstr>SaldoBanco</vt:lpstr>
      <vt:lpstr>Busqueda Suma</vt:lpstr>
      <vt:lpstr>SALDO_INICIAL</vt:lpstr>
      <vt:lpstr>Comparar Lista</vt:lpstr>
      <vt:lpstr>TEMP</vt:lpstr>
      <vt:lpstr>L</vt:lpstr>
      <vt:lpstr>HOJA_TEMP_PENDIENTE</vt:lpstr>
      <vt:lpstr>TEMP_CUENTA</vt:lpstr>
      <vt:lpstr>ALTERNATIVA</vt:lpstr>
      <vt:lpstr>Pendientes!Área_de_impresión</vt:lpstr>
      <vt:lpstr>BANCO</vt:lpstr>
      <vt:lpstr>CALCULADO_DIFERENCIA</vt:lpstr>
      <vt:lpstr>CUENTA</vt:lpstr>
      <vt:lpstr>dataSet</vt:lpstr>
      <vt:lpstr>DATASET_TEMP_CUENTA</vt:lpstr>
      <vt:lpstr>DATASET_TEMP_PENDIENTE</vt:lpstr>
      <vt:lpstr>dataSetCuenta</vt:lpstr>
      <vt:lpstr>dataSetMovimientos</vt:lpstr>
      <vt:lpstr>dataSetPendiente</vt:lpstr>
      <vt:lpstr>dataSetPendientes</vt:lpstr>
      <vt:lpstr>dataSetSaldoBanco</vt:lpstr>
      <vt:lpstr>dataSetTemp</vt:lpstr>
      <vt:lpstr>DB_PATH</vt:lpstr>
      <vt:lpstr>DIA</vt:lpstr>
      <vt:lpstr>DIRECTORIO</vt:lpstr>
      <vt:lpstr>FECHA_SALDO_BANCO</vt:lpstr>
      <vt:lpstr>FECHA_SALDO_SISTEMA</vt:lpstr>
      <vt:lpstr>FECHA1</vt:lpstr>
      <vt:lpstr>FECHA2</vt:lpstr>
      <vt:lpstr>HOJA_TEMP_PENDIENTE</vt:lpstr>
      <vt:lpstr>ID_CUENTA</vt:lpstr>
      <vt:lpstr>LISTA_A</vt:lpstr>
      <vt:lpstr>LISTA_A2</vt:lpstr>
      <vt:lpstr>LISTA_B</vt:lpstr>
      <vt:lpstr>LISTA_B2</vt:lpstr>
      <vt:lpstr>LOG_PATH</vt:lpstr>
      <vt:lpstr>MONEDA</vt:lpstr>
      <vt:lpstr>OBJETIVO</vt:lpstr>
      <vt:lpstr>PENDIENTES_FECHA</vt:lpstr>
      <vt:lpstr>POSIBILIDADES</vt:lpstr>
      <vt:lpstr>SALDO_BANCO</vt:lpstr>
      <vt:lpstr>SALDO_BANCO_ANTERIOR</vt:lpstr>
      <vt:lpstr>SALDO_CALCULADO</vt:lpstr>
      <vt:lpstr>SALDO_SISTEMA</vt:lpstr>
      <vt:lpstr>TEMP_CUENTA</vt:lpstr>
      <vt:lpstr>TEMP_PATH</vt:lpstr>
      <vt:lpstr>VALORES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cp:lastPrinted>2020-03-17T14:40:19Z</cp:lastPrinted>
  <dcterms:created xsi:type="dcterms:W3CDTF">2019-11-15T20:31:58Z</dcterms:created>
  <dcterms:modified xsi:type="dcterms:W3CDTF">2020-08-14T01:23:06Z</dcterms:modified>
</cp:coreProperties>
</file>